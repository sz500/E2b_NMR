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raw/"/>
    </mc:Choice>
  </mc:AlternateContent>
  <xr:revisionPtr revIDLastSave="0" documentId="13_ncr:1_{ACC1D135-C647-CB4C-8094-47CDDF4AAE01}" xr6:coauthVersionLast="47" xr6:coauthVersionMax="47" xr10:uidLastSave="{00000000-0000-0000-0000-000000000000}"/>
  <bookViews>
    <workbookView xWindow="0" yWindow="0" windowWidth="192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B17" i="1"/>
  <c r="D16" i="1"/>
  <c r="B16" i="1"/>
  <c r="D15" i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A2" i="1"/>
  <c r="E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<sst xmlns="http://schemas.openxmlformats.org/spreadsheetml/2006/main" count="7" uniqueCount="7">
  <si>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</si>
  <si>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</si>
  <si>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temperature=24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</si>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</sst>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Sheet1!$A$4:$A$17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1700</c:v>
                </c:pt>
                <c:pt idx="11">
                  <c:v>1900</c:v>
                </c:pt>
                <c:pt idx="12">
                  <c:v>2200</c:v>
                </c:pt>
                <c:pt idx="13">
                  <c:v>2500</c:v>
                </c:pt>
              </c:numCache>
            </c:numRef>
          </c:xVal>
          <c:yVal>
            <c:numRef>
              <c:f>Sheet1!$D$4:$D$17</c:f>
              <c:numCache>
                <c:formatCode>General</c:formatCode>
                <c:ptCount val="14"/>
                <c:pt idx="0">
                  <c:v>0.13449651663012399</c:v>
                </c:pt>
                <c:pt idx="1">
                  <c:v>0.25328954249202501</c:v>
                </c:pt>
                <c:pt idx="2">
                  <c:v>0.38225587519779403</c:v>
                </c:pt>
                <c:pt idx="3">
                  <c:v>0.48099071588348302</c:v>
                </c:pt>
                <c:pt idx="4">
                  <c:v>0.56484737395586604</c:v>
                </c:pt>
                <c:pt idx="5">
                  <c:v>0.62607963174954195</c:v>
                </c:pt>
                <c:pt idx="6">
                  <c:v>0.90803759011743501</c:v>
                </c:pt>
                <c:pt idx="7">
                  <c:v>1.03269350506158</c:v>
                </c:pt>
                <c:pt idx="8">
                  <c:v>1.1069341120056</c:v>
                </c:pt>
                <c:pt idx="9">
                  <c:v>1.18211401051344</c:v>
                </c:pt>
                <c:pt idx="10">
                  <c:v>1.4030078420936301</c:v>
                </c:pt>
                <c:pt idx="11">
                  <c:v>1.57119751624972</c:v>
                </c:pt>
                <c:pt idx="12">
                  <c:v>1.8583873415835099</c:v>
                </c:pt>
                <c:pt idx="13">
                  <c:v>2.1889714355795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3-4F4B-B2CF-33D44DA3C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42" zoomScaleNormal="142" workbookViewId="0">
      <selection activeCell="D4" sqref="D4"/>
    </sheetView>
  </sheetViews>
  <sheetFormatPr baseColWidth="10" defaultColWidth="11" defaultRowHeight="16" x14ac:dyDescent="0.2"/>
  <cols>
    <col min="4" max="4" width="13.83203125"/>
    <col min="5" max="5" width="12.6640625"/>
  </cols>
  <sheetData>
    <row r="1" spans="1:7" x14ac:dyDescent="0.2">
      <c r="A1" t="s">
        <v>0</v>
      </c>
      <c r="B1" t="s">
        <v>1</v>
      </c>
      <c r="E1">
        <f>1/0.0008</f>
        <v>1250</v>
      </c>
    </row>
    <row r="2" spans="1:7" x14ac:dyDescent="0.2">
      <c r="A2">
        <f>(2056-427)</f>
        <v>1629</v>
      </c>
      <c r="B2">
        <v>200</v>
      </c>
      <c r="G2" t="s">
        <v>2</v>
      </c>
    </row>
    <row r="3" spans="1:7" x14ac:dyDescent="0.2">
      <c r="A3" t="s">
        <v>3</v>
      </c>
      <c r="B3" t="s">
        <v>4</v>
      </c>
      <c r="C3" t="s">
        <v>5</v>
      </c>
      <c r="D3" t="s">
        <v>6</v>
      </c>
    </row>
    <row r="4" spans="1:7" x14ac:dyDescent="0.2">
      <c r="A4">
        <v>100</v>
      </c>
      <c r="B4">
        <f>-(1646-427)</f>
        <v>-1219</v>
      </c>
      <c r="C4">
        <v>200</v>
      </c>
      <c r="D4">
        <f t="shared" ref="D4:D17" si="0">-LN(((1-(B4/$A$2))/2))</f>
        <v>0.13449651663012399</v>
      </c>
    </row>
    <row r="5" spans="1:7" x14ac:dyDescent="0.2">
      <c r="A5">
        <v>200</v>
      </c>
      <c r="B5">
        <f>-(1327-427)</f>
        <v>-900</v>
      </c>
      <c r="C5">
        <v>200</v>
      </c>
      <c r="D5">
        <f t="shared" si="0"/>
        <v>0.25328954249202501</v>
      </c>
    </row>
    <row r="6" spans="1:7" x14ac:dyDescent="0.2">
      <c r="A6">
        <v>300</v>
      </c>
      <c r="B6">
        <f>-(1021-427)</f>
        <v>-594</v>
      </c>
      <c r="C6">
        <v>200</v>
      </c>
      <c r="D6">
        <f t="shared" si="0"/>
        <v>0.38225587519779403</v>
      </c>
    </row>
    <row r="7" spans="1:7" x14ac:dyDescent="0.2">
      <c r="A7">
        <v>400</v>
      </c>
      <c r="B7">
        <f>-(812-427)</f>
        <v>-385</v>
      </c>
      <c r="C7">
        <v>200</v>
      </c>
      <c r="D7">
        <f t="shared" si="0"/>
        <v>0.48099071588348302</v>
      </c>
    </row>
    <row r="8" spans="1:7" x14ac:dyDescent="0.2">
      <c r="A8">
        <v>500</v>
      </c>
      <c r="B8">
        <f>-(650-427)</f>
        <v>-223</v>
      </c>
      <c r="C8">
        <v>200</v>
      </c>
      <c r="D8">
        <f t="shared" si="0"/>
        <v>0.56484737395586604</v>
      </c>
    </row>
    <row r="9" spans="1:7" x14ac:dyDescent="0.2">
      <c r="A9">
        <v>600</v>
      </c>
      <c r="B9">
        <f>-(540-427)</f>
        <v>-113</v>
      </c>
      <c r="C9">
        <v>200</v>
      </c>
      <c r="D9">
        <f t="shared" si="0"/>
        <v>0.62607963174954195</v>
      </c>
    </row>
    <row r="10" spans="1:7" x14ac:dyDescent="0.2">
      <c r="A10">
        <v>1200</v>
      </c>
      <c r="B10">
        <f>(742-427)</f>
        <v>315</v>
      </c>
      <c r="C10">
        <v>200</v>
      </c>
      <c r="D10">
        <f t="shared" si="0"/>
        <v>0.90803759011743501</v>
      </c>
    </row>
    <row r="11" spans="1:7" x14ac:dyDescent="0.2">
      <c r="A11">
        <v>1300</v>
      </c>
      <c r="B11">
        <f>896-427</f>
        <v>469</v>
      </c>
      <c r="C11">
        <v>200</v>
      </c>
      <c r="D11">
        <f t="shared" si="0"/>
        <v>1.03269350506158</v>
      </c>
    </row>
    <row r="12" spans="1:7" x14ac:dyDescent="0.2">
      <c r="A12">
        <v>1400</v>
      </c>
      <c r="B12">
        <f>979-427</f>
        <v>552</v>
      </c>
      <c r="C12">
        <v>200</v>
      </c>
      <c r="D12">
        <f t="shared" si="0"/>
        <v>1.1069341120056</v>
      </c>
    </row>
    <row r="13" spans="1:7" x14ac:dyDescent="0.2">
      <c r="A13">
        <v>1500</v>
      </c>
      <c r="B13">
        <f>1054-424</f>
        <v>630</v>
      </c>
      <c r="C13">
        <v>200</v>
      </c>
      <c r="D13">
        <f t="shared" si="0"/>
        <v>1.18211401051344</v>
      </c>
    </row>
    <row r="14" spans="1:7" x14ac:dyDescent="0.2">
      <c r="A14">
        <v>1700</v>
      </c>
      <c r="B14">
        <f>(1255-427)</f>
        <v>828</v>
      </c>
      <c r="C14">
        <v>200</v>
      </c>
      <c r="D14">
        <f t="shared" si="0"/>
        <v>1.4030078420936301</v>
      </c>
    </row>
    <row r="15" spans="1:7" x14ac:dyDescent="0.2">
      <c r="A15">
        <v>1900</v>
      </c>
      <c r="B15">
        <f>(1379-427)</f>
        <v>952</v>
      </c>
      <c r="C15">
        <v>200</v>
      </c>
      <c r="D15">
        <f t="shared" si="0"/>
        <v>1.57119751624972</v>
      </c>
    </row>
    <row r="16" spans="1:7" x14ac:dyDescent="0.2">
      <c r="A16">
        <v>2200</v>
      </c>
      <c r="B16">
        <f>1548-427</f>
        <v>1121</v>
      </c>
      <c r="C16">
        <v>200</v>
      </c>
      <c r="D16">
        <f t="shared" si="0"/>
        <v>1.8583873415835099</v>
      </c>
    </row>
    <row r="17" spans="1:4" x14ac:dyDescent="0.2">
      <c r="A17">
        <v>2500</v>
      </c>
      <c r="B17">
        <f>1691-427</f>
        <v>1264</v>
      </c>
      <c r="C17">
        <v>200</v>
      </c>
      <c r="D17">
        <f t="shared" si="0"/>
        <v>2.1889714355795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2026-03-10T20:19:10Z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