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8_{64B90282-54F5-F342-8013-ACF755A7A23F}" xr6:coauthVersionLast="47" xr6:coauthVersionMax="47" xr10:uidLastSave="{00000000-0000-0000-0000-000000000000}"/>
  <bookViews>
    <workbookView xWindow="780" yWindow="500" windowWidth="27640" windowHeight="16940" xr2:uid="{0F9BEB59-6DCF-A444-A8C2-3B0F32EF592E}"/>
  </bookViews>
  <sheets>
    <sheet name="Gly_12.5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C16" i="1"/>
  <c r="F16" i="1" s="1"/>
  <c r="C15" i="1"/>
  <c r="F15" i="1" s="1"/>
  <c r="C14" i="1"/>
  <c r="F14" i="1" s="1"/>
  <c r="F13" i="1"/>
  <c r="C13" i="1"/>
  <c r="C12" i="1"/>
  <c r="F12" i="1" s="1"/>
  <c r="C11" i="1"/>
  <c r="F11" i="1" s="1"/>
  <c r="C10" i="1"/>
  <c r="F10" i="1" s="1"/>
  <c r="F9" i="1"/>
  <c r="C9" i="1"/>
  <c r="C8" i="1"/>
  <c r="F8" i="1" s="1"/>
  <c r="C7" i="1"/>
  <c r="F7" i="1" s="1"/>
  <c r="C6" i="1"/>
  <c r="F6" i="1" s="1"/>
  <c r="F5" i="1"/>
  <c r="C5" i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<sst xmlns="http://schemas.openxmlformats.org/spreadsheetml/2006/main" count="9" uniqueCount="9">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</sst>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Gly_12.5!$A$5:$A$24</c:f>
              <c:numCache>
                <c:formatCode>0.00_ 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  <c:pt idx="12">
                  <c:v>1100</c:v>
                </c:pt>
                <c:pt idx="13">
                  <c:v>1200</c:v>
                </c:pt>
                <c:pt idx="14">
                  <c:v>1300</c:v>
                </c:pt>
                <c:pt idx="15">
                  <c:v>1400</c:v>
                </c:pt>
                <c:pt idx="16">
                  <c:v>1600</c:v>
                </c:pt>
                <c:pt idx="17">
                  <c:v>1800</c:v>
                </c:pt>
                <c:pt idx="18">
                  <c:v>2000</c:v>
                </c:pt>
                <c:pt idx="19">
                  <c:v>2200</c:v>
                </c:pt>
              </c:numCache>
            </c:numRef>
          </c:xVal>
          <c:yVal>
            <c:numRef>
              <c:f>Gly_12.5!$F$5:$F$24</c:f>
              <c:numCache>
                <c:formatCode>General</c:formatCode>
                <c:ptCount val="20"/>
                <c:pt idx="0">
                  <c:v>8.5365827827785637E-2</c:v>
                </c:pt>
                <c:pt idx="1">
                  <c:v>0.11371523343705796</c:v>
                </c:pt>
                <c:pt idx="2">
                  <c:v>0.14988242659247833</c:v>
                </c:pt>
                <c:pt idx="3">
                  <c:v>0.17978853571822442</c:v>
                </c:pt>
                <c:pt idx="4">
                  <c:v>0.2552039703295686</c:v>
                </c:pt>
                <c:pt idx="5">
                  <c:v>0.31854808943487478</c:v>
                </c:pt>
                <c:pt idx="6">
                  <c:v>0.39510232107261772</c:v>
                </c:pt>
                <c:pt idx="7">
                  <c:v>0.43394659231450655</c:v>
                </c:pt>
                <c:pt idx="8">
                  <c:v>0.48044441851822456</c:v>
                </c:pt>
                <c:pt idx="9">
                  <c:v>0.51901120835243009</c:v>
                </c:pt>
                <c:pt idx="10">
                  <c:v>0.55780583269018325</c:v>
                </c:pt>
                <c:pt idx="11">
                  <c:v>0.7997833350493192</c:v>
                </c:pt>
                <c:pt idx="12">
                  <c:v>0.84267891453090904</c:v>
                </c:pt>
                <c:pt idx="13">
                  <c:v>0.92485690637955575</c:v>
                </c:pt>
                <c:pt idx="14">
                  <c:v>1.0071385098317225</c:v>
                </c:pt>
                <c:pt idx="15">
                  <c:v>1.1127516348305482</c:v>
                </c:pt>
                <c:pt idx="16">
                  <c:v>1.2962682094621709</c:v>
                </c:pt>
                <c:pt idx="17">
                  <c:v>1.3781752366813864</c:v>
                </c:pt>
                <c:pt idx="18">
                  <c:v>1.5624753893182415</c:v>
                </c:pt>
                <c:pt idx="19">
                  <c:v>1.7822935432391722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2-F24A-82EB-0FDDBC8A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A40D2-1894-DB44-8CE3-A63BC280A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ychus/Coding/E2b_NMR/T1_data/T1.xlsm" TargetMode="External"/><Relationship Id="rId1" Type="http://schemas.openxmlformats.org/officeDocument/2006/relationships/externalLinkPath" Target="T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rough_T1"/>
      <sheetName val="proper_T1"/>
      <sheetName val="proper_T2"/>
      <sheetName val="Mineral Oil"/>
      <sheetName val="Gly_90"/>
      <sheetName val="Gly_75"/>
      <sheetName val="Gly_50"/>
      <sheetName val="Gly_3.05"/>
      <sheetName val="Gly_12.5"/>
      <sheetName val="Gly_6.1"/>
      <sheetName val="Gly_1.5"/>
      <sheetName val="CuSO4_3.1"/>
      <sheetName val="Gly_100_T=50"/>
      <sheetName val="CuSO4_1.5_T=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>
            <v>50</v>
          </cell>
          <cell r="F5">
            <v>8.5365827827785637E-2</v>
          </cell>
        </row>
        <row r="6">
          <cell r="A6">
            <v>100</v>
          </cell>
          <cell r="F6">
            <v>0.11371523343705796</v>
          </cell>
        </row>
        <row r="7">
          <cell r="A7">
            <v>150</v>
          </cell>
          <cell r="F7">
            <v>0.14988242659247833</v>
          </cell>
        </row>
        <row r="8">
          <cell r="A8">
            <v>200</v>
          </cell>
          <cell r="F8">
            <v>0.17978853571822442</v>
          </cell>
        </row>
        <row r="9">
          <cell r="A9">
            <v>300</v>
          </cell>
          <cell r="F9">
            <v>0.2552039703295686</v>
          </cell>
        </row>
        <row r="10">
          <cell r="A10">
            <v>400</v>
          </cell>
          <cell r="F10">
            <v>0.31854808943487478</v>
          </cell>
        </row>
        <row r="11">
          <cell r="A11">
            <v>500</v>
          </cell>
          <cell r="F11">
            <v>0.39510232107261772</v>
          </cell>
        </row>
        <row r="12">
          <cell r="A12">
            <v>600</v>
          </cell>
          <cell r="F12">
            <v>0.43394659231450655</v>
          </cell>
        </row>
        <row r="13">
          <cell r="A13">
            <v>700</v>
          </cell>
          <cell r="F13">
            <v>0.48044441851822456</v>
          </cell>
        </row>
        <row r="14">
          <cell r="A14">
            <v>800</v>
          </cell>
          <cell r="F14">
            <v>0.51901120835243009</v>
          </cell>
        </row>
        <row r="15">
          <cell r="A15">
            <v>900</v>
          </cell>
          <cell r="F15">
            <v>0.55780583269018325</v>
          </cell>
        </row>
        <row r="16">
          <cell r="A16">
            <v>1000</v>
          </cell>
          <cell r="F16">
            <v>0.7997833350493192</v>
          </cell>
        </row>
        <row r="17">
          <cell r="A17">
            <v>1100</v>
          </cell>
          <cell r="F17">
            <v>0.84267891453090904</v>
          </cell>
        </row>
        <row r="18">
          <cell r="A18">
            <v>1200</v>
          </cell>
          <cell r="F18">
            <v>0.92485690637955575</v>
          </cell>
        </row>
        <row r="19">
          <cell r="A19">
            <v>1300</v>
          </cell>
          <cell r="F19">
            <v>1.0071385098317225</v>
          </cell>
        </row>
        <row r="20">
          <cell r="A20">
            <v>1400</v>
          </cell>
          <cell r="F20">
            <v>1.1127516348305482</v>
          </cell>
        </row>
        <row r="21">
          <cell r="A21">
            <v>1600</v>
          </cell>
          <cell r="F21">
            <v>1.2962682094621709</v>
          </cell>
        </row>
        <row r="22">
          <cell r="A22">
            <v>1800</v>
          </cell>
          <cell r="F22">
            <v>1.3781752366813864</v>
          </cell>
        </row>
        <row r="23">
          <cell r="A23">
            <v>2000</v>
          </cell>
          <cell r="F23">
            <v>1.5624753893182415</v>
          </cell>
        </row>
        <row r="24">
          <cell r="A24">
            <v>2200</v>
          </cell>
          <cell r="F24">
            <v>1.7822935432391722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B1DF-FF25-7347-913A-4543BB0340CA}">
  <sheetPr codeName="Sheet12"/>
  <dimension ref="A1:H27"/>
  <sheetViews>
    <sheetView tabSelected="1" zoomScale="135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6624</v>
      </c>
      <c r="D1" t="s">
        <v>1</v>
      </c>
      <c r="E1" t="s">
        <v>2</v>
      </c>
      <c r="G1" t="s">
        <v>3</v>
      </c>
      <c r="H1">
        <f>1/0.0008</f>
        <v>1250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5540</v>
      </c>
      <c r="C5" s="2">
        <f>-B5</f>
        <v>-5540</v>
      </c>
      <c r="D5" s="2">
        <v>50</v>
      </c>
      <c r="F5">
        <f>-LN(((1-(C5/$B$1))/2))</f>
        <v>8.5365827827785637E-2</v>
      </c>
    </row>
    <row r="6" spans="1:8" x14ac:dyDescent="0.2">
      <c r="A6" s="1">
        <v>100</v>
      </c>
      <c r="B6">
        <v>5200</v>
      </c>
      <c r="C6" s="2">
        <f t="shared" ref="C6:C15" si="0">-B6</f>
        <v>-5200</v>
      </c>
      <c r="D6" s="2">
        <v>50</v>
      </c>
      <c r="F6">
        <f t="shared" ref="F6:F24" si="1">-LN(((1-(C6/$B$1))/2))</f>
        <v>0.11371523343705796</v>
      </c>
    </row>
    <row r="7" spans="1:8" x14ac:dyDescent="0.2">
      <c r="A7" s="1">
        <v>150</v>
      </c>
      <c r="B7">
        <v>4780</v>
      </c>
      <c r="C7" s="2">
        <f t="shared" si="0"/>
        <v>-4780</v>
      </c>
      <c r="D7" s="2">
        <v>50</v>
      </c>
      <c r="F7">
        <f t="shared" si="1"/>
        <v>0.14988242659247833</v>
      </c>
    </row>
    <row r="8" spans="1:8" x14ac:dyDescent="0.2">
      <c r="A8" s="1">
        <v>200</v>
      </c>
      <c r="B8">
        <v>4444</v>
      </c>
      <c r="C8" s="2">
        <f t="shared" si="0"/>
        <v>-4444</v>
      </c>
      <c r="D8" s="2">
        <v>50</v>
      </c>
      <c r="F8">
        <f t="shared" si="1"/>
        <v>0.17978853571822442</v>
      </c>
    </row>
    <row r="9" spans="1:8" x14ac:dyDescent="0.2">
      <c r="A9" s="1">
        <v>300</v>
      </c>
      <c r="B9">
        <v>3640</v>
      </c>
      <c r="C9" s="2">
        <f t="shared" si="0"/>
        <v>-3640</v>
      </c>
      <c r="D9" s="2">
        <v>50</v>
      </c>
      <c r="F9">
        <f t="shared" si="1"/>
        <v>0.2552039703295686</v>
      </c>
    </row>
    <row r="10" spans="1:8" x14ac:dyDescent="0.2">
      <c r="A10" s="1">
        <v>400</v>
      </c>
      <c r="B10">
        <v>3010</v>
      </c>
      <c r="C10" s="2">
        <f t="shared" si="0"/>
        <v>-3010</v>
      </c>
      <c r="D10" s="2">
        <v>50</v>
      </c>
      <c r="F10">
        <f t="shared" si="1"/>
        <v>0.31854808943487478</v>
      </c>
    </row>
    <row r="11" spans="1:8" x14ac:dyDescent="0.2">
      <c r="A11" s="1">
        <v>500</v>
      </c>
      <c r="B11">
        <v>2300</v>
      </c>
      <c r="C11" s="2">
        <f t="shared" si="0"/>
        <v>-2300</v>
      </c>
      <c r="D11" s="2">
        <v>50</v>
      </c>
      <c r="F11">
        <f t="shared" si="1"/>
        <v>0.39510232107261772</v>
      </c>
    </row>
    <row r="12" spans="1:8" x14ac:dyDescent="0.2">
      <c r="A12" s="1">
        <v>600</v>
      </c>
      <c r="B12">
        <v>1960</v>
      </c>
      <c r="C12" s="2">
        <f t="shared" si="0"/>
        <v>-1960</v>
      </c>
      <c r="D12" s="2">
        <v>50</v>
      </c>
      <c r="F12">
        <f t="shared" si="1"/>
        <v>0.43394659231450655</v>
      </c>
    </row>
    <row r="13" spans="1:8" x14ac:dyDescent="0.2">
      <c r="A13" s="1">
        <v>700</v>
      </c>
      <c r="B13">
        <v>1570</v>
      </c>
      <c r="C13" s="2">
        <f t="shared" si="0"/>
        <v>-1570</v>
      </c>
      <c r="D13" s="2">
        <v>50</v>
      </c>
      <c r="F13">
        <f t="shared" si="1"/>
        <v>0.48044441851822456</v>
      </c>
    </row>
    <row r="14" spans="1:8" x14ac:dyDescent="0.2">
      <c r="A14" s="1">
        <v>800</v>
      </c>
      <c r="B14">
        <v>1260</v>
      </c>
      <c r="C14" s="2">
        <f t="shared" si="0"/>
        <v>-1260</v>
      </c>
      <c r="D14" s="2">
        <v>50</v>
      </c>
      <c r="F14">
        <f t="shared" si="1"/>
        <v>0.51901120835243009</v>
      </c>
    </row>
    <row r="15" spans="1:8" x14ac:dyDescent="0.2">
      <c r="A15" s="1">
        <v>900</v>
      </c>
      <c r="B15">
        <v>960</v>
      </c>
      <c r="C15" s="2">
        <f t="shared" si="0"/>
        <v>-960</v>
      </c>
      <c r="D15" s="2">
        <v>50</v>
      </c>
      <c r="F15">
        <f t="shared" si="1"/>
        <v>0.55780583269018325</v>
      </c>
    </row>
    <row r="16" spans="1:8" x14ac:dyDescent="0.2">
      <c r="A16" s="1">
        <v>1000</v>
      </c>
      <c r="B16">
        <v>670</v>
      </c>
      <c r="C16" s="2">
        <f>B16</f>
        <v>670</v>
      </c>
      <c r="D16" s="2">
        <v>50</v>
      </c>
      <c r="F16">
        <f t="shared" si="1"/>
        <v>0.7997833350493192</v>
      </c>
    </row>
    <row r="17" spans="1:6" x14ac:dyDescent="0.2">
      <c r="A17" s="1">
        <v>1100</v>
      </c>
      <c r="B17">
        <v>920</v>
      </c>
      <c r="C17" s="2">
        <v>920</v>
      </c>
      <c r="D17" s="2">
        <v>50</v>
      </c>
      <c r="F17">
        <f t="shared" si="1"/>
        <v>0.84267891453090904</v>
      </c>
    </row>
    <row r="18" spans="1:6" x14ac:dyDescent="0.2">
      <c r="A18" s="1">
        <v>1200</v>
      </c>
      <c r="C18" s="2">
        <v>1370</v>
      </c>
      <c r="D18" s="2">
        <v>50</v>
      </c>
      <c r="F18">
        <f t="shared" si="1"/>
        <v>0.92485690637955575</v>
      </c>
    </row>
    <row r="19" spans="1:6" x14ac:dyDescent="0.2">
      <c r="A19" s="1">
        <v>1300</v>
      </c>
      <c r="C19" s="2">
        <v>1785</v>
      </c>
      <c r="D19" s="2">
        <v>50</v>
      </c>
      <c r="F19">
        <f t="shared" si="1"/>
        <v>1.0071385098317225</v>
      </c>
    </row>
    <row r="20" spans="1:6" x14ac:dyDescent="0.2">
      <c r="A20" s="1">
        <v>1400</v>
      </c>
      <c r="C20" s="2">
        <v>2270</v>
      </c>
      <c r="D20" s="2">
        <v>50</v>
      </c>
      <c r="F20">
        <f t="shared" si="1"/>
        <v>1.1127516348305482</v>
      </c>
    </row>
    <row r="21" spans="1:6" x14ac:dyDescent="0.2">
      <c r="A21" s="1">
        <v>1600</v>
      </c>
      <c r="C21" s="2">
        <v>3000</v>
      </c>
      <c r="F21">
        <f t="shared" si="1"/>
        <v>1.2962682094621709</v>
      </c>
    </row>
    <row r="22" spans="1:6" x14ac:dyDescent="0.2">
      <c r="A22" s="1">
        <v>1800</v>
      </c>
      <c r="C22" s="2">
        <v>3285</v>
      </c>
      <c r="F22">
        <f t="shared" si="1"/>
        <v>1.3781752366813864</v>
      </c>
    </row>
    <row r="23" spans="1:6" x14ac:dyDescent="0.2">
      <c r="A23" s="1">
        <v>2000</v>
      </c>
      <c r="C23" s="2">
        <v>3847</v>
      </c>
      <c r="F23">
        <f t="shared" si="1"/>
        <v>1.5624753893182415</v>
      </c>
    </row>
    <row r="24" spans="1:6" x14ac:dyDescent="0.2">
      <c r="A24" s="1">
        <v>2200</v>
      </c>
      <c r="C24" s="2">
        <v>4395</v>
      </c>
      <c r="F24">
        <f t="shared" si="1"/>
        <v>1.7822935432391722</v>
      </c>
    </row>
    <row r="26" spans="1:6" x14ac:dyDescent="0.2">
      <c r="A26" s="1"/>
      <c r="C26" s="2"/>
      <c r="D26" s="2"/>
    </row>
    <row r="27" spans="1:6" x14ac:dyDescent="0.2">
      <c r="A27" s="1"/>
      <c r="C27" s="2"/>
      <c r="D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2026-02-25T15:21:50Z</dcterms:modified>
</cp:coreProperties>
</file>