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Glycerol/washed/"/>
    </mc:Choice>
  </mc:AlternateContent>
  <xr:revisionPtr revIDLastSave="0" documentId="13_ncr:1_{8503F096-B659-434A-ACFF-6626D51F4C08}" xr6:coauthVersionLast="47" xr6:coauthVersionMax="47" xr10:uidLastSave="{00000000-0000-0000-0000-000000000000}"/>
  <bookViews>
    <workbookView xWindow="0" yWindow="0" windowWidth="15420" windowHeight="18000" xr2:uid="{B74E5150-37FA-8740-BD50-EAE664852DF3}"/>
  </bookViews>
  <sheets>
    <sheet name="Gly_3.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F14" i="1"/>
  <c r="F13" i="1"/>
  <c r="F12" i="1"/>
  <c r="F11" i="1"/>
  <c r="F10" i="1"/>
  <c r="F9" i="1"/>
  <c r="C8" i="1"/>
  <c r="F8" i="1" s="1"/>
  <c r="C7" i="1"/>
  <c r="F7" i="1" s="1"/>
  <c r="C6" i="1"/>
  <c r="F6" i="1" s="1"/>
  <c r="C5" i="1"/>
  <c r="F5" i="1" s="1"/>
</calcChain>
</file>

<file path=xl/sharedStrings.xml><?xml version="1.0" encoding="utf-8"?>
<sst xmlns="http://schemas.openxmlformats.org/spreadsheetml/2006/main" count="10" uniqueCount="10">
  <si>
    <t>M0 （mV)</t>
  </si>
  <si>
    <t>repetition time</t>
  </si>
  <si>
    <t>2s</t>
  </si>
  <si>
    <t>T1</t>
  </si>
  <si>
    <t>delta M0</t>
  </si>
  <si>
    <t>tau(ms)</t>
  </si>
  <si>
    <t>V (mV)</t>
  </si>
  <si>
    <t>delta V (mV)</t>
  </si>
  <si>
    <t>y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</si>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</sst>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#,##0.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Gly_3.05!$A$5:$A$23</c:f>
              <c:numCache>
                <c:formatCode>0.00_ </c:formatCode>
                <c:ptCount val="19"/>
                <c:pt idx="0">
                  <c:v>100</c:v>
                </c:pt>
                <c:pt idx="1">
                  <c:v>400</c:v>
                </c:pt>
                <c:pt idx="2">
                  <c:v>700</c:v>
                </c:pt>
                <c:pt idx="3">
                  <c:v>1000</c:v>
                </c:pt>
                <c:pt idx="4">
                  <c:v>1300</c:v>
                </c:pt>
                <c:pt idx="5">
                  <c:v>1900</c:v>
                </c:pt>
                <c:pt idx="6">
                  <c:v>2200</c:v>
                </c:pt>
                <c:pt idx="7">
                  <c:v>2500</c:v>
                </c:pt>
                <c:pt idx="8">
                  <c:v>2800</c:v>
                </c:pt>
                <c:pt idx="9">
                  <c:v>3100</c:v>
                </c:pt>
              </c:numCache>
            </c:numRef>
          </c:xVal>
          <c:yVal>
            <c:numRef>
              <c:f>Gly_3.05!$F$5:$F$23</c:f>
              <c:numCache>
                <c:formatCode>General</c:formatCode>
                <c:ptCount val="19"/>
                <c:pt idx="0">
                  <c:v>8.7287734598131841E-2</c:v>
                </c:pt>
                <c:pt idx="1">
                  <c:v>0.21444291008337835</c:v>
                </c:pt>
                <c:pt idx="2">
                  <c:v>0.34180558259657551</c:v>
                </c:pt>
                <c:pt idx="3">
                  <c:v>0.45611870952651573</c:v>
                </c:pt>
                <c:pt idx="4">
                  <c:v>0.54995515566607445</c:v>
                </c:pt>
                <c:pt idx="5">
                  <c:v>0.90646078504617222</c:v>
                </c:pt>
                <c:pt idx="6">
                  <c:v>1.0511256224021219</c:v>
                </c:pt>
                <c:pt idx="7">
                  <c:v>1.1784650447787233</c:v>
                </c:pt>
                <c:pt idx="8">
                  <c:v>1.3272801896828355</c:v>
                </c:pt>
                <c:pt idx="9">
                  <c:v>1.4686193063758932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A6-9F4A-A1FA-2028F4FEE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13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A078D7-B8DA-7249-A6FE-DD05206F0C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60EE-48E7-754F-8CEC-7C0A91C4FDD2}">
  <sheetPr codeName="Sheet11"/>
  <dimension ref="A1:K26"/>
  <sheetViews>
    <sheetView tabSelected="1" zoomScale="87" workbookViewId="0">
      <selection activeCell="E9" sqref="E9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6580</v>
      </c>
      <c r="D1" t="s">
        <v>1</v>
      </c>
      <c r="E1" t="s">
        <v>2</v>
      </c>
      <c r="G1" t="s">
        <v>3</v>
      </c>
      <c r="H1">
        <f>1/0.0004671062</f>
        <v>2140.8407766799069</v>
      </c>
    </row>
    <row r="2" spans="1:8" x14ac:dyDescent="0.2">
      <c r="A2" s="1" t="s">
        <v>4</v>
      </c>
      <c r="B2" s="2">
        <v>40</v>
      </c>
    </row>
    <row r="4" spans="1:8" x14ac:dyDescent="0.2">
      <c r="A4" s="1" t="s">
        <v>5</v>
      </c>
      <c r="C4" s="2" t="s">
        <v>6</v>
      </c>
      <c r="D4" s="2" t="s">
        <v>7</v>
      </c>
      <c r="F4" t="s">
        <v>8</v>
      </c>
    </row>
    <row r="5" spans="1:8" x14ac:dyDescent="0.2">
      <c r="A5" s="1">
        <v>100</v>
      </c>
      <c r="B5">
        <v>5480</v>
      </c>
      <c r="C5" s="2">
        <f>-B5</f>
        <v>-5480</v>
      </c>
      <c r="D5" s="2">
        <v>100</v>
      </c>
      <c r="F5">
        <f>-LN(((1-(C5/$B$1))/2))</f>
        <v>8.7287734598131841E-2</v>
      </c>
    </row>
    <row r="6" spans="1:8" x14ac:dyDescent="0.2">
      <c r="A6" s="1">
        <v>400</v>
      </c>
      <c r="B6">
        <v>4040</v>
      </c>
      <c r="C6" s="2">
        <f t="shared" ref="C6:C8" si="0">-B6</f>
        <v>-4040</v>
      </c>
      <c r="D6" s="2">
        <v>100</v>
      </c>
      <c r="F6">
        <f t="shared" ref="F6:F14" si="1">-LN(((1-(C6/$B$1))/2))</f>
        <v>0.21444291008337835</v>
      </c>
    </row>
    <row r="7" spans="1:8" x14ac:dyDescent="0.2">
      <c r="A7" s="1">
        <v>700</v>
      </c>
      <c r="B7">
        <v>2770</v>
      </c>
      <c r="C7" s="2">
        <f t="shared" si="0"/>
        <v>-2770</v>
      </c>
      <c r="D7" s="2">
        <v>100</v>
      </c>
      <c r="F7">
        <f t="shared" si="1"/>
        <v>0.34180558259657551</v>
      </c>
    </row>
    <row r="8" spans="1:8" x14ac:dyDescent="0.2">
      <c r="A8" s="1">
        <v>1000</v>
      </c>
      <c r="B8">
        <v>1760</v>
      </c>
      <c r="C8" s="2">
        <f t="shared" si="0"/>
        <v>-1760</v>
      </c>
      <c r="D8" s="2">
        <v>100</v>
      </c>
      <c r="F8">
        <f t="shared" si="1"/>
        <v>0.45611870952651573</v>
      </c>
    </row>
    <row r="9" spans="1:8" x14ac:dyDescent="0.2">
      <c r="A9" s="1">
        <v>1300</v>
      </c>
      <c r="C9" s="2">
        <v>-1013</v>
      </c>
      <c r="D9" s="2">
        <v>100</v>
      </c>
      <c r="F9">
        <f t="shared" si="1"/>
        <v>0.54995515566607445</v>
      </c>
    </row>
    <row r="10" spans="1:8" x14ac:dyDescent="0.2">
      <c r="A10" s="1">
        <v>1900</v>
      </c>
      <c r="C10" s="2">
        <v>1264</v>
      </c>
      <c r="D10" s="2">
        <v>100</v>
      </c>
      <c r="F10">
        <f t="shared" si="1"/>
        <v>0.90646078504617222</v>
      </c>
    </row>
    <row r="11" spans="1:8" x14ac:dyDescent="0.2">
      <c r="A11" s="1">
        <v>2200</v>
      </c>
      <c r="C11" s="2">
        <v>1980</v>
      </c>
      <c r="D11" s="2">
        <v>100</v>
      </c>
      <c r="F11">
        <f t="shared" si="1"/>
        <v>1.0511256224021219</v>
      </c>
    </row>
    <row r="12" spans="1:8" x14ac:dyDescent="0.2">
      <c r="A12" s="1">
        <v>2500</v>
      </c>
      <c r="C12" s="2">
        <v>2530</v>
      </c>
      <c r="D12" s="2">
        <v>100</v>
      </c>
      <c r="F12">
        <f t="shared" si="1"/>
        <v>1.1784650447787233</v>
      </c>
    </row>
    <row r="13" spans="1:8" x14ac:dyDescent="0.2">
      <c r="A13" s="1">
        <v>2800</v>
      </c>
      <c r="C13" s="2">
        <v>3090</v>
      </c>
      <c r="D13" s="2">
        <v>100</v>
      </c>
      <c r="F13">
        <f t="shared" si="1"/>
        <v>1.3272801896828355</v>
      </c>
    </row>
    <row r="14" spans="1:8" x14ac:dyDescent="0.2">
      <c r="A14" s="1">
        <v>3100</v>
      </c>
      <c r="C14" s="2">
        <v>3550</v>
      </c>
      <c r="D14" s="2">
        <v>100</v>
      </c>
      <c r="F14">
        <f t="shared" si="1"/>
        <v>1.4686193063758932</v>
      </c>
    </row>
    <row r="15" spans="1:8" x14ac:dyDescent="0.2">
      <c r="A15" s="1"/>
      <c r="C15" s="2"/>
      <c r="D15" s="2"/>
    </row>
    <row r="16" spans="1:8" x14ac:dyDescent="0.2">
      <c r="A16" s="1"/>
      <c r="C16" s="2"/>
      <c r="D16" s="2"/>
    </row>
    <row r="17" spans="1:11" x14ac:dyDescent="0.2">
      <c r="A17" s="1"/>
      <c r="C17" s="2"/>
      <c r="D17" s="2"/>
    </row>
    <row r="18" spans="1:11" x14ac:dyDescent="0.2">
      <c r="C18" s="2"/>
      <c r="D18" s="2"/>
    </row>
    <row r="19" spans="1:11" x14ac:dyDescent="0.2">
      <c r="A19" s="1"/>
      <c r="C19" s="2"/>
      <c r="D19" s="2"/>
    </row>
    <row r="20" spans="1:11" x14ac:dyDescent="0.2">
      <c r="A20" s="1"/>
      <c r="C20" s="2"/>
      <c r="K20" t="s">
        <v>9</v>
      </c>
    </row>
    <row r="21" spans="1:11" x14ac:dyDescent="0.2">
      <c r="A21" s="1"/>
      <c r="C21" s="2"/>
    </row>
    <row r="22" spans="1:11" x14ac:dyDescent="0.2">
      <c r="A22" s="1"/>
      <c r="C22" s="2"/>
    </row>
    <row r="23" spans="1:11" x14ac:dyDescent="0.2">
      <c r="A23" s="1"/>
      <c r="C23" s="2"/>
    </row>
    <row r="25" spans="1:11" x14ac:dyDescent="0.2">
      <c r="A25" s="1"/>
      <c r="C25" s="2"/>
      <c r="D25" s="2"/>
    </row>
    <row r="26" spans="1:11" x14ac:dyDescent="0.2">
      <c r="A26" s="1">
        <v>621627</v>
      </c>
      <c r="C26" s="2"/>
      <c r="D2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Gly_3.05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2026-02-25T15:21:49Z</dcterms:created>
  <dcterms:modified xsi:type="dcterms:W3CDTF">2026-03-01T17:56:28Z</dcterms:modified>
</cp:coreProperties>
</file>