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CF322825-FCE5-2641-BA1A-185ADE790213}" xr6:coauthVersionLast="47" xr6:coauthVersionMax="47" xr10:uidLastSave="{00000000-0000-0000-0000-000000000000}"/>
  <bookViews>
    <workbookView xWindow="0" yWindow="0" windowWidth="14400" windowHeight="18000" xr2:uid="{39FDCB99-BA4A-6A49-A653-B03C8362AE44}"/>
  </bookViews>
  <sheets>
    <sheet name="Gly_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24" i="1" s="1"/>
  <c r="C23" i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<sst xmlns="http://schemas.openxmlformats.org/spreadsheetml/2006/main" count="9" uniqueCount="9">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</sst>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Gly_90!$F$5:$F$24</c:f>
              <c:numCache>
                <c:formatCode>General</c:formatCode>
                <c:ptCount val="20"/>
                <c:pt idx="0">
                  <c:v>0.15408209507362217</c:v>
                </c:pt>
                <c:pt idx="1">
                  <c:v>0.32087435393672387</c:v>
                </c:pt>
                <c:pt idx="2">
                  <c:v>0.46589684729308217</c:v>
                </c:pt>
                <c:pt idx="3">
                  <c:v>0.60950223181226881</c:v>
                </c:pt>
                <c:pt idx="4">
                  <c:v>0.79713689408399291</c:v>
                </c:pt>
                <c:pt idx="5">
                  <c:v>0.95510000704590725</c:v>
                </c:pt>
                <c:pt idx="6">
                  <c:v>1.0973784822191812</c:v>
                </c:pt>
                <c:pt idx="7">
                  <c:v>1.2720842301850819</c:v>
                </c:pt>
                <c:pt idx="8">
                  <c:v>1.4206217165064976</c:v>
                </c:pt>
                <c:pt idx="9">
                  <c:v>1.5553706911638245</c:v>
                </c:pt>
                <c:pt idx="10">
                  <c:v>1.7157133412390038</c:v>
                </c:pt>
                <c:pt idx="11">
                  <c:v>1.8687205103641833</c:v>
                </c:pt>
                <c:pt idx="12">
                  <c:v>2.0056863654373407</c:v>
                </c:pt>
                <c:pt idx="13">
                  <c:v>2.1361643205749732</c:v>
                </c:pt>
                <c:pt idx="14">
                  <c:v>2.2862581997066171</c:v>
                </c:pt>
                <c:pt idx="15">
                  <c:v>2.4629277430692249</c:v>
                </c:pt>
                <c:pt idx="16">
                  <c:v>2.5861603834931737</c:v>
                </c:pt>
                <c:pt idx="17">
                  <c:v>2.6776527239178396</c:v>
                </c:pt>
                <c:pt idx="18">
                  <c:v>2.8903717578961641</c:v>
                </c:pt>
                <c:pt idx="19">
                  <c:v>3.0165230432230645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6-EE4B-B75D-EA985F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C0403-9212-9E4E-A71A-365C445E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B8-FACC-7648-B453-020B95A7C6D1}">
  <sheetPr codeName="Sheet8"/>
  <dimension ref="A1:H31"/>
  <sheetViews>
    <sheetView tabSelected="1" topLeftCell="A2" zoomScale="150" workbookViewId="0">
      <selection activeCell="D5" sqref="D5:D24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6075</v>
      </c>
      <c r="D1" t="s">
        <v>1</v>
      </c>
      <c r="E1" t="s">
        <v>2</v>
      </c>
      <c r="G1" t="s">
        <v>3</v>
      </c>
      <c r="H1">
        <f>1/0.015</f>
        <v>66.666666666666671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4340</v>
      </c>
      <c r="C5" s="2">
        <f>-B5</f>
        <v>-4340</v>
      </c>
      <c r="D5" s="2">
        <v>100</v>
      </c>
      <c r="F5">
        <f>-LN(((1-(C5/$B$1))/2))</f>
        <v>0.15408209507362217</v>
      </c>
    </row>
    <row r="6" spans="1:8" x14ac:dyDescent="0.2">
      <c r="A6" s="1">
        <v>20</v>
      </c>
      <c r="B6">
        <v>2740</v>
      </c>
      <c r="C6" s="2">
        <f t="shared" ref="C6:C8" si="0">-B6</f>
        <v>-2740</v>
      </c>
      <c r="D6" s="2">
        <v>100</v>
      </c>
      <c r="F6">
        <f t="shared" ref="F6:F24" si="1">-LN(((1-(C6/$B$1))/2))</f>
        <v>0.32087435393672387</v>
      </c>
    </row>
    <row r="7" spans="1:8" x14ac:dyDescent="0.2">
      <c r="A7" s="1">
        <v>30</v>
      </c>
      <c r="B7">
        <v>1550</v>
      </c>
      <c r="C7" s="2">
        <f t="shared" si="0"/>
        <v>-1550</v>
      </c>
      <c r="D7" s="2">
        <v>100</v>
      </c>
      <c r="F7">
        <f t="shared" si="1"/>
        <v>0.46589684729308217</v>
      </c>
    </row>
    <row r="8" spans="1:8" x14ac:dyDescent="0.2">
      <c r="A8" s="1">
        <v>40</v>
      </c>
      <c r="B8">
        <v>530</v>
      </c>
      <c r="C8" s="2">
        <f t="shared" si="0"/>
        <v>-530</v>
      </c>
      <c r="D8" s="2">
        <v>100</v>
      </c>
      <c r="F8">
        <f t="shared" si="1"/>
        <v>0.60950223181226881</v>
      </c>
    </row>
    <row r="9" spans="1:8" x14ac:dyDescent="0.2">
      <c r="A9" s="1">
        <v>50</v>
      </c>
      <c r="B9">
        <v>600</v>
      </c>
      <c r="C9" s="2">
        <f>B9</f>
        <v>600</v>
      </c>
      <c r="D9" s="2">
        <v>100</v>
      </c>
      <c r="F9">
        <f t="shared" si="1"/>
        <v>0.79713689408399291</v>
      </c>
    </row>
    <row r="10" spans="1:8" x14ac:dyDescent="0.2">
      <c r="A10" s="1">
        <v>60</v>
      </c>
      <c r="B10">
        <v>1400</v>
      </c>
      <c r="C10" s="2">
        <f t="shared" ref="C10:C24" si="2">B10</f>
        <v>1400</v>
      </c>
      <c r="D10" s="2">
        <v>100</v>
      </c>
      <c r="F10">
        <f t="shared" si="1"/>
        <v>0.95510000704590725</v>
      </c>
    </row>
    <row r="11" spans="1:8" x14ac:dyDescent="0.2">
      <c r="A11" s="1">
        <v>70</v>
      </c>
      <c r="B11">
        <v>2020</v>
      </c>
      <c r="C11" s="2">
        <f t="shared" si="2"/>
        <v>2020</v>
      </c>
      <c r="D11" s="2">
        <v>100</v>
      </c>
      <c r="F11">
        <f t="shared" si="1"/>
        <v>1.0973784822191812</v>
      </c>
    </row>
    <row r="12" spans="1:8" x14ac:dyDescent="0.2">
      <c r="A12" s="1">
        <v>80</v>
      </c>
      <c r="B12">
        <v>2670</v>
      </c>
      <c r="C12" s="2">
        <f t="shared" si="2"/>
        <v>2670</v>
      </c>
      <c r="D12" s="2">
        <v>100</v>
      </c>
      <c r="F12">
        <f t="shared" si="1"/>
        <v>1.2720842301850819</v>
      </c>
    </row>
    <row r="13" spans="1:8" x14ac:dyDescent="0.2">
      <c r="A13" s="1">
        <v>90</v>
      </c>
      <c r="B13">
        <v>3140</v>
      </c>
      <c r="C13" s="2">
        <f t="shared" si="2"/>
        <v>3140</v>
      </c>
      <c r="D13" s="2">
        <v>100</v>
      </c>
      <c r="F13">
        <f t="shared" si="1"/>
        <v>1.4206217165064976</v>
      </c>
    </row>
    <row r="14" spans="1:8" x14ac:dyDescent="0.2">
      <c r="A14" s="1">
        <v>100</v>
      </c>
      <c r="B14">
        <v>3510</v>
      </c>
      <c r="C14" s="2">
        <f t="shared" si="2"/>
        <v>3510</v>
      </c>
      <c r="D14" s="2">
        <v>100</v>
      </c>
      <c r="F14">
        <f t="shared" si="1"/>
        <v>1.5553706911638245</v>
      </c>
    </row>
    <row r="15" spans="1:8" x14ac:dyDescent="0.2">
      <c r="A15" s="1">
        <v>110</v>
      </c>
      <c r="B15">
        <v>3890</v>
      </c>
      <c r="C15" s="2">
        <f t="shared" si="2"/>
        <v>3890</v>
      </c>
      <c r="D15" s="2">
        <v>100</v>
      </c>
      <c r="F15">
        <f t="shared" si="1"/>
        <v>1.7157133412390038</v>
      </c>
    </row>
    <row r="16" spans="1:8" x14ac:dyDescent="0.2">
      <c r="A16" s="1">
        <v>120</v>
      </c>
      <c r="B16">
        <v>4200</v>
      </c>
      <c r="C16" s="2">
        <f t="shared" si="2"/>
        <v>4200</v>
      </c>
      <c r="D16" s="2">
        <v>100</v>
      </c>
      <c r="F16">
        <f t="shared" si="1"/>
        <v>1.8687205103641833</v>
      </c>
    </row>
    <row r="17" spans="1:6" x14ac:dyDescent="0.2">
      <c r="A17" s="1">
        <v>130</v>
      </c>
      <c r="B17">
        <v>4440</v>
      </c>
      <c r="C17" s="2">
        <f t="shared" si="2"/>
        <v>4440</v>
      </c>
      <c r="D17" s="2">
        <v>100</v>
      </c>
      <c r="F17">
        <f t="shared" si="1"/>
        <v>2.0056863654373407</v>
      </c>
    </row>
    <row r="18" spans="1:6" x14ac:dyDescent="0.2">
      <c r="A18" s="1">
        <v>140</v>
      </c>
      <c r="B18">
        <v>4640</v>
      </c>
      <c r="C18" s="2">
        <f t="shared" si="2"/>
        <v>4640</v>
      </c>
      <c r="D18" s="2">
        <v>100</v>
      </c>
      <c r="F18">
        <f t="shared" si="1"/>
        <v>2.1361643205749732</v>
      </c>
    </row>
    <row r="19" spans="1:6" x14ac:dyDescent="0.2">
      <c r="A19" s="1">
        <v>150</v>
      </c>
      <c r="B19">
        <v>4840</v>
      </c>
      <c r="C19" s="2">
        <f t="shared" si="2"/>
        <v>4840</v>
      </c>
      <c r="D19" s="2">
        <v>100</v>
      </c>
      <c r="F19">
        <f t="shared" si="1"/>
        <v>2.2862581997066171</v>
      </c>
    </row>
    <row r="20" spans="1:6" x14ac:dyDescent="0.2">
      <c r="A20" s="1">
        <v>160</v>
      </c>
      <c r="B20">
        <v>5040</v>
      </c>
      <c r="C20" s="2">
        <f t="shared" si="2"/>
        <v>5040</v>
      </c>
      <c r="D20" s="2">
        <v>100</v>
      </c>
      <c r="F20">
        <f t="shared" si="1"/>
        <v>2.4629277430692249</v>
      </c>
    </row>
    <row r="21" spans="1:6" x14ac:dyDescent="0.2">
      <c r="A21" s="1">
        <v>170</v>
      </c>
      <c r="B21">
        <v>5160</v>
      </c>
      <c r="C21" s="2">
        <f t="shared" si="2"/>
        <v>5160</v>
      </c>
      <c r="D21" s="2">
        <v>100</v>
      </c>
      <c r="F21">
        <f t="shared" si="1"/>
        <v>2.5861603834931737</v>
      </c>
    </row>
    <row r="22" spans="1:6" x14ac:dyDescent="0.2">
      <c r="A22" s="1">
        <v>180</v>
      </c>
      <c r="B22">
        <v>5240</v>
      </c>
      <c r="C22" s="2">
        <f t="shared" si="2"/>
        <v>5240</v>
      </c>
      <c r="D22" s="2">
        <v>100</v>
      </c>
      <c r="F22">
        <f t="shared" si="1"/>
        <v>2.6776527239178396</v>
      </c>
    </row>
    <row r="23" spans="1:6" x14ac:dyDescent="0.2">
      <c r="A23" s="1">
        <v>190</v>
      </c>
      <c r="B23">
        <v>5400</v>
      </c>
      <c r="C23" s="2">
        <f t="shared" si="2"/>
        <v>5400</v>
      </c>
      <c r="D23" s="2">
        <v>100</v>
      </c>
      <c r="F23">
        <f t="shared" si="1"/>
        <v>2.8903717578961641</v>
      </c>
    </row>
    <row r="24" spans="1:6" x14ac:dyDescent="0.2">
      <c r="A24" s="1">
        <v>200</v>
      </c>
      <c r="B24">
        <v>5480</v>
      </c>
      <c r="C24" s="2">
        <f t="shared" si="2"/>
        <v>5480</v>
      </c>
      <c r="D24" s="2">
        <v>100</v>
      </c>
      <c r="F24">
        <f t="shared" si="1"/>
        <v>3.0165230432230645</v>
      </c>
    </row>
    <row r="25" spans="1:6" x14ac:dyDescent="0.2">
      <c r="A25" s="1"/>
      <c r="C25" s="2"/>
    </row>
    <row r="26" spans="1:6" x14ac:dyDescent="0.2">
      <c r="A26" s="1"/>
      <c r="C26" s="2"/>
    </row>
    <row r="30" spans="1:6" x14ac:dyDescent="0.2">
      <c r="A30" s="1"/>
      <c r="C30" s="2"/>
      <c r="D30" s="2"/>
    </row>
    <row r="31" spans="1:6" x14ac:dyDescent="0.2">
      <c r="A31" s="1"/>
      <c r="C31" s="2"/>
      <c r="D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2026-03-01T17:55:58Z</dcterms:modified>
</cp:coreProperties>
</file>