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/Glycerol/raw/"/>
    </mc:Choice>
  </mc:AlternateContent>
  <xr:revisionPtr revIDLastSave="0" documentId="13_ncr:1_{35787BCF-347A-A944-AC4D-B80E5BCD745C}" xr6:coauthVersionLast="47" xr6:coauthVersionMax="47" xr10:uidLastSave="{00000000-0000-0000-0000-000000000000}"/>
  <bookViews>
    <workbookView xWindow="19200" yWindow="0" windowWidth="19200" windowHeight="21600" xr2:uid="{6D579AE2-C85F-AE41-9DE9-1079B8769EC2}"/>
  </bookViews>
  <sheets>
    <sheet name="Gly_1.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F13" i="1"/>
  <c r="F14" i="1"/>
  <c r="F15" i="1"/>
  <c r="F16" i="1"/>
  <c r="F17" i="1"/>
  <c r="F18" i="1"/>
  <c r="C18" i="1"/>
  <c r="C17" i="1"/>
  <c r="C16" i="1"/>
  <c r="C15" i="1"/>
  <c r="C14" i="1"/>
  <c r="C13" i="1"/>
  <c r="C12" i="1"/>
  <c r="F12" i="1" s="1"/>
  <c r="C11" i="1"/>
  <c r="C10" i="1"/>
  <c r="C9" i="1"/>
  <c r="C8" i="1"/>
  <c r="C7" i="1"/>
  <c r="C6" i="1"/>
  <c r="F6" i="1" s="1"/>
  <c r="C5" i="1"/>
  <c r="B1" i="1"/>
  <c r="F5" i="1" s="1"/>
  <c r="F11" i="1"/>
  <c r="F7" i="1"/>
  <c r="F8" i="1"/>
  <c r="F9" i="1"/>
  <c r="F10" i="1"/>
</calcChain>
</file>

<file path=xl/sharedStrings.xml><?xml version="1.0" encoding="utf-8"?>
<sst xmlns="http://schemas.openxmlformats.org/spreadsheetml/2006/main" count="10" uniqueCount="10">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</sst>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262405826733091E-2"/>
          <c:y val="6.7836372260372022E-2"/>
          <c:w val="0.82081357396648391"/>
          <c:h val="0.8507599810271815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Gly_1.5!$A$5:$A$12</c:f>
              <c:numCache>
                <c:formatCode>General</c:formatCode>
                <c:ptCount val="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1200</c:v>
                </c:pt>
                <c:pt idx="7">
                  <c:v>1300</c:v>
                </c:pt>
              </c:numCache>
            </c:numRef>
          </c:xVal>
          <c:yVal>
            <c:numRef>
              <c:f>Gly_1.5!$F$5:$F$12</c:f>
              <c:numCache>
                <c:formatCode>General</c:formatCode>
                <c:ptCount val="8"/>
                <c:pt idx="0">
                  <c:v>0.13449651663012407</c:v>
                </c:pt>
                <c:pt idx="1">
                  <c:v>0.25328954249202534</c:v>
                </c:pt>
                <c:pt idx="2">
                  <c:v>0.38225587519779392</c:v>
                </c:pt>
                <c:pt idx="3">
                  <c:v>0.48099071588348286</c:v>
                </c:pt>
                <c:pt idx="4">
                  <c:v>0.56484737395586571</c:v>
                </c:pt>
                <c:pt idx="5">
                  <c:v>0.6260796317495424</c:v>
                </c:pt>
                <c:pt idx="6">
                  <c:v>0.90803759011743468</c:v>
                </c:pt>
                <c:pt idx="7">
                  <c:v>1.0326935050615802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7D-D540-A95C-98BC9B396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400740</xdr:colOff>
      <xdr:row>4</xdr:row>
      <xdr:rowOff>191827</xdr:rowOff>
    </xdr:from>
    <xdr:to>
      <xdr:col>11</xdr:col>
      <xdr:colOff>228691</xdr:colOff>
      <xdr:row>12</xdr:row>
      <xdr:rowOff>42346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472620-627B-4043-BAD6-1882D57E8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FC805-12B5-C84C-9E8D-6D8B3404CA4E}">
  <sheetPr codeName="Sheet14"/>
  <dimension ref="A1:K32"/>
  <sheetViews>
    <sheetView tabSelected="1" topLeftCell="B1" zoomScale="125" workbookViewId="0">
      <selection activeCell="D8" sqref="D8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>
        <f>(2056-427)</f>
        <v>1629</v>
      </c>
      <c r="D1" t="s">
        <v>1</v>
      </c>
      <c r="E1" t="s">
        <v>2</v>
      </c>
      <c r="G1" t="s">
        <v>3</v>
      </c>
      <c r="H1">
        <f>1/0.00067</f>
        <v>1492.5373134328358</v>
      </c>
    </row>
    <row r="2" spans="1:8" x14ac:dyDescent="0.2">
      <c r="A2" s="1" t="s">
        <v>4</v>
      </c>
      <c r="B2" s="2">
        <v>200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>
        <v>100</v>
      </c>
      <c r="C5">
        <f>-(1646-427)</f>
        <v>-1219</v>
      </c>
      <c r="D5" s="2">
        <v>200</v>
      </c>
      <c r="F5">
        <f>-LN(((1-(C5/$B$1))/2))</f>
        <v>0.13449651663012407</v>
      </c>
    </row>
    <row r="6" spans="1:8" x14ac:dyDescent="0.2">
      <c r="A6">
        <v>200</v>
      </c>
      <c r="C6">
        <f>-(1327-427)</f>
        <v>-900</v>
      </c>
      <c r="D6" s="2">
        <v>200</v>
      </c>
      <c r="F6">
        <f t="shared" ref="F6:F18" si="0">-LN(((1-(C6/$B$1))/2))</f>
        <v>0.25328954249202534</v>
      </c>
    </row>
    <row r="7" spans="1:8" x14ac:dyDescent="0.2">
      <c r="A7">
        <v>300</v>
      </c>
      <c r="C7">
        <f>-(1021-427)</f>
        <v>-594</v>
      </c>
      <c r="D7" s="2">
        <v>200</v>
      </c>
      <c r="F7">
        <f t="shared" si="0"/>
        <v>0.38225587519779392</v>
      </c>
    </row>
    <row r="8" spans="1:8" x14ac:dyDescent="0.2">
      <c r="A8">
        <v>400</v>
      </c>
      <c r="C8">
        <f>-(812-427)</f>
        <v>-385</v>
      </c>
      <c r="D8" s="2">
        <v>200</v>
      </c>
      <c r="F8">
        <f t="shared" si="0"/>
        <v>0.48099071588348286</v>
      </c>
    </row>
    <row r="9" spans="1:8" x14ac:dyDescent="0.2">
      <c r="A9">
        <v>500</v>
      </c>
      <c r="C9">
        <f>-(650-427)</f>
        <v>-223</v>
      </c>
      <c r="D9" s="2">
        <v>200</v>
      </c>
      <c r="F9">
        <f t="shared" si="0"/>
        <v>0.56484737395586571</v>
      </c>
    </row>
    <row r="10" spans="1:8" x14ac:dyDescent="0.2">
      <c r="A10">
        <v>600</v>
      </c>
      <c r="C10">
        <f>-(540-427)</f>
        <v>-113</v>
      </c>
      <c r="D10" s="2">
        <v>200</v>
      </c>
      <c r="F10">
        <f t="shared" si="0"/>
        <v>0.6260796317495424</v>
      </c>
    </row>
    <row r="11" spans="1:8" x14ac:dyDescent="0.2">
      <c r="A11">
        <v>1200</v>
      </c>
      <c r="C11">
        <f>(742-427)</f>
        <v>315</v>
      </c>
      <c r="D11" s="2">
        <v>200</v>
      </c>
      <c r="F11">
        <f t="shared" si="0"/>
        <v>0.90803759011743468</v>
      </c>
    </row>
    <row r="12" spans="1:8" x14ac:dyDescent="0.2">
      <c r="A12">
        <v>1300</v>
      </c>
      <c r="C12">
        <f>896-427</f>
        <v>469</v>
      </c>
      <c r="D12" s="2">
        <v>200</v>
      </c>
      <c r="F12">
        <f t="shared" si="0"/>
        <v>1.0326935050615802</v>
      </c>
    </row>
    <row r="13" spans="1:8" x14ac:dyDescent="0.2">
      <c r="A13">
        <v>1400</v>
      </c>
      <c r="C13">
        <f>979-427</f>
        <v>552</v>
      </c>
      <c r="D13" s="2">
        <v>200</v>
      </c>
      <c r="F13">
        <f t="shared" si="0"/>
        <v>1.106934112005602</v>
      </c>
    </row>
    <row r="14" spans="1:8" x14ac:dyDescent="0.2">
      <c r="A14">
        <v>1500</v>
      </c>
      <c r="C14">
        <f>1054-424</f>
        <v>630</v>
      </c>
      <c r="D14" s="2">
        <v>200</v>
      </c>
      <c r="F14">
        <f t="shared" si="0"/>
        <v>1.1821140105134369</v>
      </c>
    </row>
    <row r="15" spans="1:8" x14ac:dyDescent="0.2">
      <c r="A15">
        <v>1700</v>
      </c>
      <c r="C15">
        <f>(1255-427)</f>
        <v>828</v>
      </c>
      <c r="D15" s="2">
        <v>200</v>
      </c>
      <c r="F15">
        <f t="shared" si="0"/>
        <v>1.4030078420936314</v>
      </c>
    </row>
    <row r="16" spans="1:8" x14ac:dyDescent="0.2">
      <c r="A16">
        <v>1900</v>
      </c>
      <c r="C16">
        <f>(1379-427)</f>
        <v>952</v>
      </c>
      <c r="D16" s="2">
        <v>200</v>
      </c>
      <c r="F16">
        <f t="shared" si="0"/>
        <v>1.5711975162497154</v>
      </c>
    </row>
    <row r="17" spans="1:11" x14ac:dyDescent="0.2">
      <c r="A17">
        <v>2200</v>
      </c>
      <c r="C17">
        <f>1548-427</f>
        <v>1121</v>
      </c>
      <c r="D17" s="2">
        <v>200</v>
      </c>
      <c r="F17">
        <f t="shared" si="0"/>
        <v>1.8583873415835086</v>
      </c>
    </row>
    <row r="18" spans="1:11" x14ac:dyDescent="0.2">
      <c r="A18">
        <v>2500</v>
      </c>
      <c r="C18">
        <f>1691-427</f>
        <v>1264</v>
      </c>
      <c r="D18" s="2">
        <v>200</v>
      </c>
      <c r="F18">
        <f t="shared" si="0"/>
        <v>2.1889714355794991</v>
      </c>
    </row>
    <row r="19" spans="1:11" x14ac:dyDescent="0.2">
      <c r="A19" s="1"/>
      <c r="C19" s="2"/>
      <c r="K19" t="s">
        <v>9</v>
      </c>
    </row>
    <row r="20" spans="1:11" x14ac:dyDescent="0.2">
      <c r="A20" s="1"/>
      <c r="C20" s="2"/>
    </row>
    <row r="21" spans="1:11" x14ac:dyDescent="0.2">
      <c r="A21" s="1"/>
      <c r="C21" s="2"/>
    </row>
    <row r="22" spans="1:11" x14ac:dyDescent="0.2">
      <c r="A22" s="1"/>
      <c r="C22" s="2"/>
    </row>
    <row r="23" spans="1:11" x14ac:dyDescent="0.2">
      <c r="B23" s="2"/>
    </row>
    <row r="24" spans="1:11" x14ac:dyDescent="0.2">
      <c r="A24" s="1"/>
      <c r="C24" s="2"/>
      <c r="D24" s="2"/>
    </row>
    <row r="25" spans="1:11" x14ac:dyDescent="0.2">
      <c r="A25" s="1"/>
      <c r="C25" s="2"/>
      <c r="D25" s="2"/>
    </row>
    <row r="26" spans="1:11" x14ac:dyDescent="0.2">
      <c r="C26" s="2"/>
    </row>
    <row r="27" spans="1:11" x14ac:dyDescent="0.2">
      <c r="C27" s="2"/>
    </row>
    <row r="28" spans="1:11" x14ac:dyDescent="0.2">
      <c r="C28" s="2"/>
    </row>
    <row r="29" spans="1:11" x14ac:dyDescent="0.2">
      <c r="C29" s="2"/>
    </row>
    <row r="30" spans="1:11" x14ac:dyDescent="0.2">
      <c r="C30" s="2"/>
    </row>
    <row r="31" spans="1:11" x14ac:dyDescent="0.2">
      <c r="C31" s="2"/>
    </row>
    <row r="32" spans="1:11" x14ac:dyDescent="0.2">
      <c r="C3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Gly_1.5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2026-02-25T15:21:50Z</dcterms:created>
  <dcterms:modified xsi:type="dcterms:W3CDTF">2026-03-10T20:19:11Z</dcterms:modified>
</cp:coreProperties>
</file>