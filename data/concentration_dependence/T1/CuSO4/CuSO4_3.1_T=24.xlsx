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ychus/Coding/E2b_NMR/T1_data/"/>
    </mc:Choice>
  </mc:AlternateContent>
  <xr:revisionPtr revIDLastSave="0" documentId="8_{3B39F552-80B5-0641-BC17-308DA1F98937}" xr6:coauthVersionLast="47" xr6:coauthVersionMax="47" xr10:uidLastSave="{00000000-0000-0000-0000-000000000000}"/>
  <bookViews>
    <workbookView xWindow="780" yWindow="500" windowWidth="27640" windowHeight="16940" xr2:uid="{A657F933-8060-A746-AF6F-6B638F080392}"/>
  </bookViews>
  <sheets>
    <sheet name="CuSO4_3.1" sheetId="1" r:id="rId1"/>
  </sheets>
  <externalReferences>
    <externalReference r:id="rId2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C12" i="1"/>
  <c r="F12" i="1" s="1"/>
  <c r="C11" i="1"/>
  <c r="F11" i="1" s="1"/>
  <c r="C10" i="1"/>
  <c r="F10" i="1" s="1"/>
  <c r="F9" i="1"/>
  <c r="C9" i="1"/>
  <c r="C8" i="1"/>
  <c r="F8" i="1" s="1"/>
  <c r="C7" i="1"/>
  <c r="F7" i="1" s="1"/>
  <c r="C6" i="1"/>
  <c r="F6" i="1" s="1"/>
  <c r="F5" i="1"/>
  <c r="C5" i="1"/>
  <c r="H1" i="1"/>
</calcChain>
</file>

<file path=xl/sharedStrings.xml><?xml version="1.0" encoding="utf-8"?>
<sst xmlns="http://schemas.openxmlformats.org/spreadsheetml/2006/main" count="9" uniqueCount="9">
  <si>
    <t>M0 （mV)</t>
  </si>
  <si>
    <t>repetition time</t>
  </si>
  <si>
    <t>0.1s</t>
  </si>
  <si>
    <t>T1</t>
  </si>
  <si>
    <t>delta M0</t>
  </si>
  <si>
    <t>tau(ms)</t>
  </si>
  <si>
    <t>V (mV)</t>
  </si>
  <si>
    <t>delta V (mV)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</si>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</sst>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 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'CuSO4_3.1'!$A$5:$A$22</c:f>
              <c:numCache>
                <c:formatCode>0.00_ 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'CuSO4_3.1'!$F$5:$F$22</c:f>
              <c:numCache>
                <c:formatCode>General</c:formatCode>
                <c:ptCount val="18"/>
                <c:pt idx="0">
                  <c:v>8.3056792998559878E-2</c:v>
                </c:pt>
                <c:pt idx="1">
                  <c:v>0.14732471475685843</c:v>
                </c:pt>
                <c:pt idx="2">
                  <c:v>0.20601218088248513</c:v>
                </c:pt>
                <c:pt idx="3">
                  <c:v>0.26835978579961928</c:v>
                </c:pt>
                <c:pt idx="4">
                  <c:v>0.32618905116695529</c:v>
                </c:pt>
                <c:pt idx="5">
                  <c:v>0.3784364357202451</c:v>
                </c:pt>
                <c:pt idx="6">
                  <c:v>0.44418781328302553</c:v>
                </c:pt>
                <c:pt idx="7">
                  <c:v>0.51144848270858145</c:v>
                </c:pt>
                <c:pt idx="8">
                  <c:v>0.58691531363020788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B3-9942-AE64-D904284B8C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6385952"/>
        <c:axId val="1147070832"/>
      </c:scatterChart>
      <c:valAx>
        <c:axId val="1146385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070832"/>
        <c:crosses val="autoZero"/>
        <c:crossBetween val="midCat"/>
      </c:valAx>
      <c:valAx>
        <c:axId val="114707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385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94903</xdr:colOff>
      <xdr:row>5</xdr:row>
      <xdr:rowOff>20766</xdr:rowOff>
    </xdr:from>
    <xdr:to>
      <xdr:col>11</xdr:col>
      <xdr:colOff>747058</xdr:colOff>
      <xdr:row>16</xdr:row>
      <xdr:rowOff>73448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BE50F3-B447-994F-AF11-6AC44566DC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tychus/Coding/E2b_NMR/T1_data/T1.xlsm" TargetMode="External"/><Relationship Id="rId1" Type="http://schemas.openxmlformats.org/officeDocument/2006/relationships/externalLinkPath" Target="T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  <sheetName val="rough_T1"/>
      <sheetName val="proper_T1"/>
      <sheetName val="proper_T2"/>
      <sheetName val="Mineral Oil"/>
      <sheetName val="Gly_90"/>
      <sheetName val="Gly_75"/>
      <sheetName val="Gly_50"/>
      <sheetName val="Gly_3.05"/>
      <sheetName val="Gly_12.5"/>
      <sheetName val="Gly_6.1"/>
      <sheetName val="Gly_1.5"/>
      <sheetName val="CuSO4_3.1"/>
      <sheetName val="Gly_100_T=50"/>
      <sheetName val="CuSO4_1.5_T=5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5">
          <cell r="A5">
            <v>1</v>
          </cell>
          <cell r="F5">
            <v>8.3056792998559878E-2</v>
          </cell>
        </row>
        <row r="6">
          <cell r="A6">
            <v>2</v>
          </cell>
          <cell r="F6">
            <v>0.14732471475685843</v>
          </cell>
        </row>
        <row r="7">
          <cell r="A7">
            <v>3</v>
          </cell>
          <cell r="F7">
            <v>0.20601218088248513</v>
          </cell>
        </row>
        <row r="8">
          <cell r="A8">
            <v>4</v>
          </cell>
          <cell r="F8">
            <v>0.26835978579961928</v>
          </cell>
        </row>
        <row r="9">
          <cell r="A9">
            <v>5</v>
          </cell>
          <cell r="F9">
            <v>0.32618905116695529</v>
          </cell>
        </row>
        <row r="10">
          <cell r="A10">
            <v>6</v>
          </cell>
          <cell r="F10">
            <v>0.3784364357202451</v>
          </cell>
        </row>
        <row r="11">
          <cell r="A11">
            <v>7</v>
          </cell>
          <cell r="F11">
            <v>0.44418781328302553</v>
          </cell>
        </row>
        <row r="12">
          <cell r="A12">
            <v>8</v>
          </cell>
          <cell r="F12">
            <v>0.51144848270858145</v>
          </cell>
        </row>
        <row r="13">
          <cell r="A13">
            <v>9</v>
          </cell>
          <cell r="F13">
            <v>0.58691531363020788</v>
          </cell>
        </row>
      </sheetData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BA125-C972-F546-8582-DAD27B2A383C}">
  <sheetPr codeName="Sheet15"/>
  <dimension ref="A1:H29"/>
  <sheetViews>
    <sheetView tabSelected="1" zoomScale="140" workbookViewId="0">
      <selection activeCell="A5" sqref="A5:F13"/>
    </sheetView>
  </sheetViews>
  <sheetFormatPr baseColWidth="10" defaultRowHeight="16" x14ac:dyDescent="0.2"/>
  <cols>
    <col min="4" max="4" width="18" customWidth="1"/>
  </cols>
  <sheetData>
    <row r="1" spans="1:8" x14ac:dyDescent="0.2">
      <c r="A1" s="1" t="s">
        <v>0</v>
      </c>
      <c r="B1" s="2">
        <v>8030</v>
      </c>
      <c r="D1" t="s">
        <v>1</v>
      </c>
      <c r="E1" t="s">
        <v>2</v>
      </c>
      <c r="G1" t="s">
        <v>3</v>
      </c>
      <c r="H1">
        <f>1/0.015</f>
        <v>66.666666666666671</v>
      </c>
    </row>
    <row r="2" spans="1:8" x14ac:dyDescent="0.2">
      <c r="A2" s="1" t="s">
        <v>4</v>
      </c>
      <c r="B2" s="2">
        <v>40</v>
      </c>
    </row>
    <row r="4" spans="1:8" x14ac:dyDescent="0.2">
      <c r="A4" s="1" t="s">
        <v>5</v>
      </c>
      <c r="C4" s="2" t="s">
        <v>6</v>
      </c>
      <c r="D4" s="2" t="s">
        <v>7</v>
      </c>
      <c r="F4" t="s">
        <v>8</v>
      </c>
    </row>
    <row r="5" spans="1:8" x14ac:dyDescent="0.2">
      <c r="A5" s="1">
        <v>1</v>
      </c>
      <c r="B5">
        <v>6750</v>
      </c>
      <c r="C5" s="2">
        <f>-B5</f>
        <v>-6750</v>
      </c>
      <c r="D5" s="2">
        <v>100</v>
      </c>
      <c r="F5">
        <f>-LN(((1-(C5/$B$1))/2))</f>
        <v>8.3056792998559878E-2</v>
      </c>
    </row>
    <row r="6" spans="1:8" x14ac:dyDescent="0.2">
      <c r="A6" s="1">
        <v>2</v>
      </c>
      <c r="B6">
        <v>5830</v>
      </c>
      <c r="C6" s="2">
        <f t="shared" ref="C6:C12" si="0">-B6</f>
        <v>-5830</v>
      </c>
      <c r="D6" s="2">
        <v>100</v>
      </c>
      <c r="F6">
        <f t="shared" ref="F6:F13" si="1">-LN(((1-(C6/$B$1))/2))</f>
        <v>0.14732471475685843</v>
      </c>
    </row>
    <row r="7" spans="1:8" x14ac:dyDescent="0.2">
      <c r="A7" s="1">
        <v>3</v>
      </c>
      <c r="B7">
        <v>5040</v>
      </c>
      <c r="C7" s="2">
        <f t="shared" si="0"/>
        <v>-5040</v>
      </c>
      <c r="D7" s="2">
        <v>100</v>
      </c>
      <c r="F7">
        <f t="shared" si="1"/>
        <v>0.20601218088248513</v>
      </c>
    </row>
    <row r="8" spans="1:8" x14ac:dyDescent="0.2">
      <c r="A8" s="1">
        <v>4</v>
      </c>
      <c r="B8">
        <v>4250</v>
      </c>
      <c r="C8" s="2">
        <f t="shared" si="0"/>
        <v>-4250</v>
      </c>
      <c r="D8" s="2">
        <v>100</v>
      </c>
      <c r="F8">
        <f t="shared" si="1"/>
        <v>0.26835978579961928</v>
      </c>
    </row>
    <row r="9" spans="1:8" x14ac:dyDescent="0.2">
      <c r="A9" s="1">
        <v>5</v>
      </c>
      <c r="B9">
        <v>3560</v>
      </c>
      <c r="C9" s="2">
        <f t="shared" si="0"/>
        <v>-3560</v>
      </c>
      <c r="D9" s="2">
        <v>100</v>
      </c>
      <c r="F9">
        <f t="shared" si="1"/>
        <v>0.32618905116695529</v>
      </c>
    </row>
    <row r="10" spans="1:8" x14ac:dyDescent="0.2">
      <c r="A10" s="1">
        <v>6</v>
      </c>
      <c r="B10">
        <v>2970</v>
      </c>
      <c r="C10" s="2">
        <f t="shared" si="0"/>
        <v>-2970</v>
      </c>
      <c r="D10" s="2">
        <v>100</v>
      </c>
      <c r="F10">
        <f t="shared" si="1"/>
        <v>0.3784364357202451</v>
      </c>
    </row>
    <row r="11" spans="1:8" x14ac:dyDescent="0.2">
      <c r="A11" s="1">
        <v>7</v>
      </c>
      <c r="B11">
        <v>2270</v>
      </c>
      <c r="C11" s="2">
        <f t="shared" si="0"/>
        <v>-2270</v>
      </c>
      <c r="D11" s="2">
        <v>100</v>
      </c>
      <c r="F11">
        <f t="shared" si="1"/>
        <v>0.44418781328302553</v>
      </c>
    </row>
    <row r="12" spans="1:8" x14ac:dyDescent="0.2">
      <c r="A12" s="1">
        <v>8</v>
      </c>
      <c r="B12">
        <v>1600</v>
      </c>
      <c r="C12" s="2">
        <f t="shared" si="0"/>
        <v>-1600</v>
      </c>
      <c r="D12" s="2">
        <v>100</v>
      </c>
      <c r="F12">
        <f t="shared" si="1"/>
        <v>0.51144848270858145</v>
      </c>
    </row>
    <row r="13" spans="1:8" x14ac:dyDescent="0.2">
      <c r="A13" s="1">
        <v>9</v>
      </c>
      <c r="B13">
        <v>900</v>
      </c>
      <c r="C13" s="2">
        <v>-900</v>
      </c>
      <c r="D13" s="2">
        <v>100</v>
      </c>
      <c r="F13">
        <f t="shared" si="1"/>
        <v>0.58691531363020788</v>
      </c>
    </row>
    <row r="14" spans="1:8" x14ac:dyDescent="0.2">
      <c r="A14" s="1"/>
      <c r="C14" s="2"/>
      <c r="D14" s="2"/>
    </row>
    <row r="15" spans="1:8" x14ac:dyDescent="0.2">
      <c r="A15" s="1"/>
      <c r="C15" s="2"/>
      <c r="D15" s="2"/>
    </row>
    <row r="16" spans="1:8" x14ac:dyDescent="0.2">
      <c r="A16" s="1"/>
      <c r="C16" s="2"/>
      <c r="D16" s="2"/>
    </row>
    <row r="17" spans="1:4" x14ac:dyDescent="0.2">
      <c r="A17" s="1"/>
      <c r="C17" s="2"/>
      <c r="D17" s="2"/>
    </row>
    <row r="18" spans="1:4" x14ac:dyDescent="0.2">
      <c r="A18" s="1"/>
      <c r="C18" s="2"/>
      <c r="D18" s="2"/>
    </row>
    <row r="19" spans="1:4" x14ac:dyDescent="0.2">
      <c r="A19" s="1"/>
      <c r="C19" s="2"/>
      <c r="D19" s="2"/>
    </row>
    <row r="20" spans="1:4" x14ac:dyDescent="0.2">
      <c r="A20" s="1"/>
      <c r="C20" s="2"/>
      <c r="D20" s="2"/>
    </row>
    <row r="21" spans="1:4" x14ac:dyDescent="0.2">
      <c r="A21" s="1"/>
      <c r="C21" s="2"/>
      <c r="D21" s="2"/>
    </row>
    <row r="22" spans="1:4" x14ac:dyDescent="0.2">
      <c r="A22" s="1"/>
      <c r="C22" s="2"/>
      <c r="D22" s="2"/>
    </row>
    <row r="23" spans="1:4" x14ac:dyDescent="0.2">
      <c r="A23" s="1"/>
      <c r="C23" s="2"/>
    </row>
    <row r="24" spans="1:4" x14ac:dyDescent="0.2">
      <c r="A24" s="1"/>
      <c r="C24" s="2"/>
    </row>
    <row r="28" spans="1:4" x14ac:dyDescent="0.2">
      <c r="A28" s="1"/>
      <c r="C28" s="2"/>
      <c r="D28" s="2"/>
    </row>
    <row r="29" spans="1:4" x14ac:dyDescent="0.2">
      <c r="A29" s="1"/>
      <c r="C29" s="2"/>
      <c r="D29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CuSO4_3.1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刘 励恒</dc:creator>
  <cp:lastModifiedBy>刘 励恒</cp:lastModifiedBy>
  <dcterms:created xsi:type="dcterms:W3CDTF">2026-02-25T15:21:51Z</dcterms:created>
  <dcterms:modified xsi:type="dcterms:W3CDTF">2026-02-25T15:21:51Z</dcterms:modified>
</cp:coreProperties>
</file>