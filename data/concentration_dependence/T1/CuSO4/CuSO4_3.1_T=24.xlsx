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ychus/Coding/E2b_NMR/data/concentration_dependence/T1_C/CuSO4/"/>
    </mc:Choice>
  </mc:AlternateContent>
  <xr:revisionPtr revIDLastSave="0" documentId="13_ncr:1_{7FF1B37A-6FAF-4549-9997-A75351C0D0A6}" xr6:coauthVersionLast="47" xr6:coauthVersionMax="47" xr10:uidLastSave="{00000000-0000-0000-0000-000000000000}"/>
  <bookViews>
    <workbookView xWindow="0" yWindow="0" windowWidth="14400" windowHeight="18000" xr2:uid="{99ED33F6-2649-2D45-8ED4-17C758CC2A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" i="1" l="1"/>
  <c r="D6" i="1"/>
  <c r="D7" i="1"/>
  <c r="D8" i="1"/>
  <c r="D9" i="1"/>
  <c r="D10" i="1"/>
  <c r="D11" i="1"/>
  <c r="D12" i="1"/>
  <c r="D4" i="1"/>
  <c r="D5" i="1"/>
</calcChain>
</file>

<file path=xl/sharedStrings.xml><?xml version="1.0" encoding="utf-8"?>
<sst xmlns="http://schemas.openxmlformats.org/spreadsheetml/2006/main" count="7" uniqueCount="7">
  <si>
    <t>delta V/mV</t>
  </si>
  <si>
    <t>V/mV</t>
  </si>
  <si>
    <t>t/ms</t>
  </si>
  <si>
    <t>y</t>
  </si>
  <si>
    <t>M0/mV</t>
  </si>
  <si>
    <t>delta M0/mV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</si>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</sst>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 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Sheet1!$A$4:$A$13</c:f>
              <c:numCache>
                <c:formatCode>0.00_ 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xVal>
          <c:yVal>
            <c:numRef>
              <c:f>Sheet1!$D$4:$D$13</c:f>
              <c:numCache>
                <c:formatCode>General</c:formatCode>
                <c:ptCount val="10"/>
                <c:pt idx="0">
                  <c:v>8.3056792998559878E-2</c:v>
                </c:pt>
                <c:pt idx="1">
                  <c:v>0.14732471475685843</c:v>
                </c:pt>
                <c:pt idx="2">
                  <c:v>0.20601218088248513</c:v>
                </c:pt>
                <c:pt idx="3">
                  <c:v>0.26835978579961928</c:v>
                </c:pt>
                <c:pt idx="4">
                  <c:v>0.32618905116695529</c:v>
                </c:pt>
                <c:pt idx="5">
                  <c:v>0.3784364357202451</c:v>
                </c:pt>
                <c:pt idx="6">
                  <c:v>0.44418781328302553</c:v>
                </c:pt>
                <c:pt idx="7">
                  <c:v>0.51144848270858145</c:v>
                </c:pt>
                <c:pt idx="8">
                  <c:v>0.58691531363020788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9B4-5949-B986-AA9E3A5EA1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6385952"/>
        <c:axId val="1147070832"/>
      </c:scatterChart>
      <c:valAx>
        <c:axId val="1146385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070832"/>
        <c:crosses val="autoZero"/>
        <c:crossBetween val="midCat"/>
      </c:valAx>
      <c:valAx>
        <c:axId val="114707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385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Sheet1!$A$4:$A$12</c:f>
              <c:numCache>
                <c:formatCode>0.00_ 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xVal>
          <c:yVal>
            <c:numRef>
              <c:f>Sheet1!$B$4:$B$12</c:f>
              <c:numCache>
                <c:formatCode>General</c:formatCode>
                <c:ptCount val="9"/>
                <c:pt idx="0">
                  <c:v>-6750</c:v>
                </c:pt>
                <c:pt idx="1">
                  <c:v>-5830</c:v>
                </c:pt>
                <c:pt idx="2">
                  <c:v>-5040</c:v>
                </c:pt>
                <c:pt idx="3">
                  <c:v>-4250</c:v>
                </c:pt>
                <c:pt idx="4">
                  <c:v>-3560</c:v>
                </c:pt>
                <c:pt idx="5">
                  <c:v>-2970</c:v>
                </c:pt>
                <c:pt idx="6">
                  <c:v>-2270</c:v>
                </c:pt>
                <c:pt idx="7">
                  <c:v>-1600</c:v>
                </c:pt>
                <c:pt idx="8">
                  <c:v>-900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FDA-094C-B664-C8B28DCFCD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2805968"/>
        <c:axId val="552818752"/>
      </c:scatterChart>
      <c:valAx>
        <c:axId val="552805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818752"/>
        <c:crosses val="autoZero"/>
        <c:crossBetween val="midCat"/>
      </c:valAx>
      <c:valAx>
        <c:axId val="552818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8059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757339</xdr:colOff>
      <xdr:row>2</xdr:row>
      <xdr:rowOff>116514</xdr:rowOff>
    </xdr:from>
    <xdr:to>
      <xdr:col>9</xdr:col>
      <xdr:colOff>632241</xdr:colOff>
      <xdr:row>9</xdr:row>
      <xdr:rowOff>67896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D14F9B-EC3F-A34C-AA63-34E581EC3B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211668</xdr:colOff>
      <xdr:row>14</xdr:row>
      <xdr:rowOff>55033</xdr:rowOff>
    </xdr:from>
    <xdr:to>
      <xdr:col>6</xdr:col>
      <xdr:colOff>635001</xdr:colOff>
      <xdr:row>27</xdr:row>
      <xdr:rowOff>156633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8182A5F-DFB7-1C21-1C18-073101E89A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C9A1F-57B4-1241-9034-61F007A163F2}">
  <dimension ref="A1:F12"/>
  <sheetViews>
    <sheetView tabSelected="1" zoomScale="169" workbookViewId="0">
      <selection activeCell="E5" sqref="E5"/>
    </sheetView>
  </sheetViews>
  <sheetFormatPr baseColWidth="10" defaultRowHeight="16" x14ac:dyDescent="0.2"/>
  <sheetData>
    <row r="1" spans="1:6" x14ac:dyDescent="0.2">
      <c r="A1" t="s">
        <v>4</v>
      </c>
      <c r="B1" t="s">
        <v>5</v>
      </c>
      <c r="E1" t="s">
        <v>6</v>
      </c>
      <c r="F1">
        <f>1/0.0616</f>
        <v>16.233766233766232</v>
      </c>
    </row>
    <row r="2" spans="1:6" x14ac:dyDescent="0.2">
      <c r="A2">
        <v>8030</v>
      </c>
      <c r="B2">
        <v>40</v>
      </c>
    </row>
    <row r="3" spans="1:6" x14ac:dyDescent="0.2">
      <c r="A3" t="s">
        <v>2</v>
      </c>
      <c r="B3" t="s">
        <v>1</v>
      </c>
      <c r="C3" t="s">
        <v>0</v>
      </c>
      <c r="D3" t="s">
        <v>3</v>
      </c>
    </row>
    <row r="4" spans="1:6" x14ac:dyDescent="0.2">
      <c r="A4" s="1">
        <v>1</v>
      </c>
      <c r="B4">
        <v>-6750</v>
      </c>
      <c r="C4">
        <v>100</v>
      </c>
      <c r="D4">
        <f t="shared" ref="D4:D12" si="0">-LN(((1-(B4/$A$2))/2))</f>
        <v>8.3056792998559878E-2</v>
      </c>
    </row>
    <row r="5" spans="1:6" x14ac:dyDescent="0.2">
      <c r="A5" s="1">
        <v>2</v>
      </c>
      <c r="B5">
        <v>-5830</v>
      </c>
      <c r="C5">
        <v>100</v>
      </c>
      <c r="D5">
        <f t="shared" si="0"/>
        <v>0.14732471475685843</v>
      </c>
    </row>
    <row r="6" spans="1:6" x14ac:dyDescent="0.2">
      <c r="A6" s="1">
        <v>3</v>
      </c>
      <c r="B6">
        <v>-5040</v>
      </c>
      <c r="C6">
        <v>100</v>
      </c>
      <c r="D6">
        <f t="shared" si="0"/>
        <v>0.20601218088248513</v>
      </c>
    </row>
    <row r="7" spans="1:6" x14ac:dyDescent="0.2">
      <c r="A7" s="1">
        <v>4</v>
      </c>
      <c r="B7">
        <v>-4250</v>
      </c>
      <c r="C7">
        <v>100</v>
      </c>
      <c r="D7">
        <f t="shared" si="0"/>
        <v>0.26835978579961928</v>
      </c>
    </row>
    <row r="8" spans="1:6" x14ac:dyDescent="0.2">
      <c r="A8" s="1">
        <v>5</v>
      </c>
      <c r="B8">
        <v>-3560</v>
      </c>
      <c r="C8">
        <v>100</v>
      </c>
      <c r="D8">
        <f t="shared" si="0"/>
        <v>0.32618905116695529</v>
      </c>
    </row>
    <row r="9" spans="1:6" x14ac:dyDescent="0.2">
      <c r="A9" s="1">
        <v>6</v>
      </c>
      <c r="B9">
        <v>-2970</v>
      </c>
      <c r="C9">
        <v>100</v>
      </c>
      <c r="D9">
        <f t="shared" si="0"/>
        <v>0.3784364357202451</v>
      </c>
    </row>
    <row r="10" spans="1:6" x14ac:dyDescent="0.2">
      <c r="A10" s="1">
        <v>7</v>
      </c>
      <c r="B10">
        <v>-2270</v>
      </c>
      <c r="C10">
        <v>100</v>
      </c>
      <c r="D10">
        <f t="shared" si="0"/>
        <v>0.44418781328302553</v>
      </c>
    </row>
    <row r="11" spans="1:6" x14ac:dyDescent="0.2">
      <c r="A11" s="1">
        <v>8</v>
      </c>
      <c r="B11">
        <v>-1600</v>
      </c>
      <c r="C11">
        <v>100</v>
      </c>
      <c r="D11">
        <f t="shared" si="0"/>
        <v>0.51144848270858145</v>
      </c>
    </row>
    <row r="12" spans="1:6" x14ac:dyDescent="0.2">
      <c r="A12" s="1">
        <v>9</v>
      </c>
      <c r="B12">
        <v>-900</v>
      </c>
      <c r="C12">
        <v>100</v>
      </c>
      <c r="D12">
        <f t="shared" si="0"/>
        <v>0.58691531363020788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 励恒</dc:creator>
  <cp:lastModifiedBy>刘 励恒</cp:lastModifiedBy>
  <dcterms:created xsi:type="dcterms:W3CDTF">2026-02-25T13:18:11Z</dcterms:created>
  <dcterms:modified xsi:type="dcterms:W3CDTF">2026-03-11T11:25:57Z</dcterms:modified>
</cp:coreProperties>
</file>