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data/concentration_dependence/T1/CuSO4/"/>
    </mc:Choice>
  </mc:AlternateContent>
  <xr:revisionPtr revIDLastSave="0" documentId="13_ncr:1_{46AAA0D1-C668-2F49-8B80-6F94A0A443D8}" xr6:coauthVersionLast="47" xr6:coauthVersionMax="47" xr10:uidLastSave="{00000000-0000-0000-0000-000000000000}"/>
  <bookViews>
    <workbookView xWindow="0" yWindow="0" windowWidth="14400" windowHeight="18000" xr2:uid="{99ED33F6-2649-2D45-8ED4-17C758CC2A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D12" i="1"/>
  <c r="D11" i="1"/>
  <c r="D10" i="1"/>
  <c r="D9" i="1"/>
  <c r="D5" i="1"/>
  <c r="D6" i="1"/>
  <c r="D7" i="1"/>
  <c r="D8" i="1"/>
  <c r="D4" i="1"/>
</calcChain>
</file>

<file path=xl/sharedStrings.xml><?xml version="1.0" encoding="utf-8"?>
<sst xmlns="http://schemas.openxmlformats.org/spreadsheetml/2006/main" count="7" uniqueCount="7">
  <si>
    <t>delta V/mV</t>
  </si>
  <si>
    <t>V/mV</t>
  </si>
  <si>
    <t>t/ms</t>
  </si>
  <si>
    <t>y</t>
  </si>
  <si>
    <t>M0/mV</t>
  </si>
  <si>
    <t>delta M0/mV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</si>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</sst>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Sheet1!$A$4:$A$14</c:f>
              <c:numCache>
                <c:formatCode>General</c:formatCode>
                <c:ptCount val="11"/>
                <c:pt idx="0">
                  <c:v>1.2</c:v>
                </c:pt>
                <c:pt idx="1">
                  <c:v>1.3</c:v>
                </c:pt>
                <c:pt idx="2">
                  <c:v>1.4</c:v>
                </c:pt>
                <c:pt idx="3">
                  <c:v>1.5</c:v>
                </c:pt>
                <c:pt idx="4">
                  <c:v>1.6</c:v>
                </c:pt>
                <c:pt idx="5">
                  <c:v>1.25</c:v>
                </c:pt>
                <c:pt idx="6">
                  <c:v>1.35</c:v>
                </c:pt>
                <c:pt idx="7">
                  <c:v>1.45</c:v>
                </c:pt>
                <c:pt idx="8">
                  <c:v>1.55</c:v>
                </c:pt>
              </c:numCache>
            </c:numRef>
          </c:xVal>
          <c:yVal>
            <c:numRef>
              <c:f>Sheet1!$D$4:$D$14</c:f>
              <c:numCache>
                <c:formatCode>General</c:formatCode>
                <c:ptCount val="11"/>
                <c:pt idx="0">
                  <c:v>2.0378517085873309</c:v>
                </c:pt>
                <c:pt idx="1">
                  <c:v>2.2037198938364426</c:v>
                </c:pt>
                <c:pt idx="2">
                  <c:v>2.3739871598218456</c:v>
                </c:pt>
                <c:pt idx="3">
                  <c:v>2.5354321056033005</c:v>
                </c:pt>
                <c:pt idx="4">
                  <c:v>2.7196946029760887</c:v>
                </c:pt>
                <c:pt idx="5">
                  <c:v>2.123983090111452</c:v>
                </c:pt>
                <c:pt idx="6">
                  <c:v>2.29199720824082</c:v>
                </c:pt>
                <c:pt idx="7">
                  <c:v>2.4575225045406399</c:v>
                </c:pt>
                <c:pt idx="8">
                  <c:v>2.6229472609411162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B4-5949-B986-AA9E3A5EA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142822</xdr:colOff>
      <xdr:row>16</xdr:row>
      <xdr:rowOff>85789</xdr:rowOff>
    </xdr:from>
    <xdr:to>
      <xdr:col>5</xdr:col>
      <xdr:colOff>163870</xdr:colOff>
      <xdr:row>29</xdr:row>
      <xdr:rowOff>71694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D14F9B-EC3F-A34C-AA63-34E581EC3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C9A1F-57B4-1241-9034-61F007A163F2}">
  <dimension ref="A1:F12"/>
  <sheetViews>
    <sheetView tabSelected="1" topLeftCell="B1" zoomScale="200" workbookViewId="0">
      <selection activeCell="E10" sqref="E10"/>
    </sheetView>
  </sheetViews>
  <sheetFormatPr baseColWidth="10" defaultRowHeight="16" x14ac:dyDescent="0.2"/>
  <sheetData>
    <row r="1" spans="1:6" x14ac:dyDescent="0.2">
      <c r="A1" t="s">
        <v>4</v>
      </c>
      <c r="B1" t="s">
        <v>5</v>
      </c>
      <c r="E1" t="s">
        <v>6</v>
      </c>
      <c r="F1">
        <f>1/1.6844</f>
        <v>0.59368321063880314</v>
      </c>
    </row>
    <row r="2" spans="1:6" x14ac:dyDescent="0.2">
      <c r="A2">
        <v>9113</v>
      </c>
      <c r="B2">
        <v>100</v>
      </c>
    </row>
    <row r="3" spans="1:6" x14ac:dyDescent="0.2">
      <c r="A3" t="s">
        <v>2</v>
      </c>
      <c r="B3" t="s">
        <v>1</v>
      </c>
      <c r="C3" t="s">
        <v>0</v>
      </c>
      <c r="D3" t="s">
        <v>3</v>
      </c>
    </row>
    <row r="4" spans="1:6" x14ac:dyDescent="0.2">
      <c r="A4">
        <v>1.2</v>
      </c>
      <c r="B4">
        <v>6738</v>
      </c>
      <c r="C4">
        <v>100</v>
      </c>
      <c r="D4">
        <f t="shared" ref="D4:D12" si="0">-LN(((1-(B4/$A$2))/2))</f>
        <v>2.0378517085873309</v>
      </c>
    </row>
    <row r="5" spans="1:6" x14ac:dyDescent="0.2">
      <c r="A5">
        <v>1.3</v>
      </c>
      <c r="B5">
        <v>7101</v>
      </c>
      <c r="C5">
        <v>100</v>
      </c>
      <c r="D5">
        <f>-LN(((1-(B5/$A$2))/2))</f>
        <v>2.2037198938364426</v>
      </c>
    </row>
    <row r="6" spans="1:6" x14ac:dyDescent="0.2">
      <c r="A6">
        <v>1.4</v>
      </c>
      <c r="B6">
        <v>7416</v>
      </c>
      <c r="C6">
        <v>100</v>
      </c>
      <c r="D6">
        <f t="shared" si="0"/>
        <v>2.3739871598218456</v>
      </c>
    </row>
    <row r="7" spans="1:6" x14ac:dyDescent="0.2">
      <c r="A7">
        <v>1.5</v>
      </c>
      <c r="B7">
        <v>7669</v>
      </c>
      <c r="C7">
        <v>100</v>
      </c>
      <c r="D7">
        <f t="shared" si="0"/>
        <v>2.5354321056033005</v>
      </c>
    </row>
    <row r="8" spans="1:6" x14ac:dyDescent="0.2">
      <c r="A8">
        <v>1.6</v>
      </c>
      <c r="B8">
        <v>7912</v>
      </c>
      <c r="C8">
        <v>100</v>
      </c>
      <c r="D8">
        <f t="shared" si="0"/>
        <v>2.7196946029760887</v>
      </c>
    </row>
    <row r="9" spans="1:6" x14ac:dyDescent="0.2">
      <c r="A9">
        <v>1.25</v>
      </c>
      <c r="B9">
        <v>6934</v>
      </c>
      <c r="C9">
        <v>100</v>
      </c>
      <c r="D9">
        <f t="shared" si="0"/>
        <v>2.123983090111452</v>
      </c>
    </row>
    <row r="10" spans="1:6" x14ac:dyDescent="0.2">
      <c r="A10">
        <v>1.35</v>
      </c>
      <c r="B10">
        <v>7271</v>
      </c>
      <c r="C10">
        <v>100</v>
      </c>
      <c r="D10">
        <f t="shared" si="0"/>
        <v>2.29199720824082</v>
      </c>
    </row>
    <row r="11" spans="1:6" x14ac:dyDescent="0.2">
      <c r="A11">
        <v>1.45</v>
      </c>
      <c r="B11">
        <v>7552</v>
      </c>
      <c r="C11">
        <v>100</v>
      </c>
      <c r="D11">
        <f t="shared" si="0"/>
        <v>2.4575225045406399</v>
      </c>
    </row>
    <row r="12" spans="1:6" x14ac:dyDescent="0.2">
      <c r="A12">
        <v>1.55</v>
      </c>
      <c r="B12">
        <v>7790</v>
      </c>
      <c r="C12">
        <v>100</v>
      </c>
      <c r="D12">
        <f t="shared" si="0"/>
        <v>2.6229472609411162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2026-02-25T13:18:11Z</dcterms:created>
  <dcterms:modified xsi:type="dcterms:W3CDTF">2026-03-02T16:59:51Z</dcterms:modified>
</cp:coreProperties>
</file>