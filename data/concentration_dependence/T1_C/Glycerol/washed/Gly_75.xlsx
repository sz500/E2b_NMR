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_C/Glycerol/washed/"/>
    </mc:Choice>
  </mc:AlternateContent>
  <xr:revisionPtr revIDLastSave="0" documentId="13_ncr:1_{B790A92C-4390-AC4E-A918-A08EDE69C654}" xr6:coauthVersionLast="47" xr6:coauthVersionMax="47" xr10:uidLastSave="{00000000-0000-0000-0000-000000000000}"/>
  <bookViews>
    <workbookView xWindow="780" yWindow="500" windowWidth="27640" windowHeight="16940" xr2:uid="{215E7EC0-B587-4C4B-9535-71A38472381E}"/>
  </bookViews>
  <sheets>
    <sheet name="Gly_7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F22" i="1" s="1"/>
  <c r="C21" i="1"/>
  <c r="F21" i="1" s="1"/>
  <c r="C20" i="1"/>
  <c r="F20" i="1" s="1"/>
  <c r="C19" i="1"/>
  <c r="F19" i="1" s="1"/>
  <c r="C18" i="1"/>
  <c r="F18" i="1" s="1"/>
  <c r="C17" i="1"/>
  <c r="F17" i="1" s="1"/>
  <c r="C16" i="1"/>
  <c r="F16" i="1" s="1"/>
  <c r="C15" i="1"/>
  <c r="F15" i="1" s="1"/>
  <c r="C14" i="1"/>
  <c r="F14" i="1" s="1"/>
  <c r="C13" i="1"/>
  <c r="F13" i="1" s="1"/>
  <c r="C12" i="1"/>
  <c r="F12" i="1" s="1"/>
  <c r="C11" i="1"/>
  <c r="F11" i="1" s="1"/>
  <c r="C10" i="1"/>
  <c r="F10" i="1" s="1"/>
  <c r="C9" i="1"/>
  <c r="F9" i="1" s="1"/>
  <c r="C8" i="1"/>
  <c r="F8" i="1" s="1"/>
  <c r="C7" i="1"/>
  <c r="F7" i="1" s="1"/>
  <c r="C6" i="1"/>
  <c r="F6" i="1" s="1"/>
  <c r="C5" i="1"/>
  <c r="F5" i="1" s="1"/>
  <c r="H1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<sst xmlns="http://schemas.openxmlformats.org/spreadsheetml/2006/main" count="9" uniqueCount="9">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</sst>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Gly_75!$A$5:$A$22</c:f>
              <c:numCache>
                <c:formatCode>0.00_ 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</c:numCache>
            </c:numRef>
          </c:xVal>
          <c:yVal>
            <c:numRef>
              <c:f>Gly_75!$F$5:$F$22</c:f>
              <c:numCache>
                <c:formatCode>General</c:formatCode>
                <c:ptCount val="18"/>
                <c:pt idx="0">
                  <c:v>0.10744788781874919</c:v>
                </c:pt>
                <c:pt idx="1">
                  <c:v>0.20003789006591105</c:v>
                </c:pt>
                <c:pt idx="2">
                  <c:v>0.29449701991788524</c:v>
                </c:pt>
                <c:pt idx="3">
                  <c:v>0.38424415262527895</c:v>
                </c:pt>
                <c:pt idx="4">
                  <c:v>0.47484104797750565</c:v>
                </c:pt>
                <c:pt idx="5">
                  <c:v>0.78284312292024416</c:v>
                </c:pt>
                <c:pt idx="6">
                  <c:v>0.87976750807911008</c:v>
                </c:pt>
                <c:pt idx="7">
                  <c:v>0.97281852926564716</c:v>
                </c:pt>
                <c:pt idx="8">
                  <c:v>1.0617660152821433</c:v>
                </c:pt>
                <c:pt idx="9">
                  <c:v>1.1583366790852292</c:v>
                </c:pt>
                <c:pt idx="10">
                  <c:v>1.2464158618356891</c:v>
                </c:pt>
                <c:pt idx="11">
                  <c:v>1.34429343714526</c:v>
                </c:pt>
                <c:pt idx="12">
                  <c:v>1.427339794363006</c:v>
                </c:pt>
                <c:pt idx="13">
                  <c:v>1.5209753993969986</c:v>
                </c:pt>
                <c:pt idx="14">
                  <c:v>1.6242930134250244</c:v>
                </c:pt>
                <c:pt idx="15">
                  <c:v>1.713161401161867</c:v>
                </c:pt>
                <c:pt idx="16">
                  <c:v>1.8005107872809611</c:v>
                </c:pt>
                <c:pt idx="17">
                  <c:v>1.8697934718405109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5-DD40-99BA-8B3E6A304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16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30E01B-2D55-7F47-9872-E2FC8BB27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3511-7EA1-4343-8697-CF88EF9DD5EB}">
  <sheetPr codeName="Sheet9"/>
  <dimension ref="A1:H29"/>
  <sheetViews>
    <sheetView tabSelected="1" zoomScale="135" workbookViewId="0">
      <selection activeCell="G12" sqref="G12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7460</v>
      </c>
      <c r="D1" t="s">
        <v>1</v>
      </c>
      <c r="E1" t="s">
        <v>2</v>
      </c>
      <c r="G1" t="s">
        <v>3</v>
      </c>
      <c r="H1">
        <f>1/0.0095</f>
        <v>105.26315789473685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</v>
      </c>
      <c r="B5">
        <v>5940</v>
      </c>
      <c r="C5" s="2">
        <f>-B5</f>
        <v>-5940</v>
      </c>
      <c r="D5" s="2">
        <v>100</v>
      </c>
      <c r="F5">
        <f>-LN(((1-(C5/$B$1))/2))</f>
        <v>0.10744788781874919</v>
      </c>
    </row>
    <row r="6" spans="1:8" x14ac:dyDescent="0.2">
      <c r="A6" s="1">
        <v>20</v>
      </c>
      <c r="B6">
        <v>4755</v>
      </c>
      <c r="C6" s="2">
        <f t="shared" ref="C6:C9" si="0">-B6</f>
        <v>-4755</v>
      </c>
      <c r="D6" s="2">
        <v>100</v>
      </c>
      <c r="F6">
        <f t="shared" ref="F6:F22" si="1">-LN(((1-(C6/$B$1))/2))</f>
        <v>0.20003789006591105</v>
      </c>
    </row>
    <row r="7" spans="1:8" x14ac:dyDescent="0.2">
      <c r="A7" s="1">
        <v>30</v>
      </c>
      <c r="B7">
        <v>3654</v>
      </c>
      <c r="C7" s="2">
        <f t="shared" si="0"/>
        <v>-3654</v>
      </c>
      <c r="D7" s="2">
        <v>100</v>
      </c>
      <c r="F7">
        <f t="shared" si="1"/>
        <v>0.29449701991788524</v>
      </c>
    </row>
    <row r="8" spans="1:8" x14ac:dyDescent="0.2">
      <c r="A8" s="1">
        <v>40</v>
      </c>
      <c r="B8">
        <v>2700</v>
      </c>
      <c r="C8" s="2">
        <f t="shared" si="0"/>
        <v>-2700</v>
      </c>
      <c r="D8" s="2">
        <v>100</v>
      </c>
      <c r="F8">
        <f t="shared" si="1"/>
        <v>0.38424415262527895</v>
      </c>
    </row>
    <row r="9" spans="1:8" x14ac:dyDescent="0.2">
      <c r="A9" s="1">
        <v>50</v>
      </c>
      <c r="B9">
        <v>1820</v>
      </c>
      <c r="C9" s="2">
        <f t="shared" si="0"/>
        <v>-1820</v>
      </c>
      <c r="D9" s="2">
        <v>100</v>
      </c>
      <c r="F9">
        <f t="shared" si="1"/>
        <v>0.47484104797750565</v>
      </c>
    </row>
    <row r="10" spans="1:8" x14ac:dyDescent="0.2">
      <c r="A10" s="1">
        <v>80</v>
      </c>
      <c r="B10">
        <v>640</v>
      </c>
      <c r="C10" s="2">
        <f>B10</f>
        <v>640</v>
      </c>
      <c r="D10" s="2">
        <v>100</v>
      </c>
      <c r="F10">
        <f t="shared" si="1"/>
        <v>0.78284312292024416</v>
      </c>
    </row>
    <row r="11" spans="1:8" x14ac:dyDescent="0.2">
      <c r="A11" s="1">
        <v>90</v>
      </c>
      <c r="B11">
        <v>1270</v>
      </c>
      <c r="C11" s="2">
        <f t="shared" ref="C11:C22" si="2">B11</f>
        <v>1270</v>
      </c>
      <c r="D11" s="2">
        <v>100</v>
      </c>
      <c r="F11">
        <f t="shared" si="1"/>
        <v>0.87976750807911008</v>
      </c>
    </row>
    <row r="12" spans="1:8" x14ac:dyDescent="0.2">
      <c r="A12" s="1">
        <v>100</v>
      </c>
      <c r="B12">
        <v>1820</v>
      </c>
      <c r="C12" s="2">
        <f t="shared" si="2"/>
        <v>1820</v>
      </c>
      <c r="D12" s="2">
        <v>100</v>
      </c>
      <c r="F12">
        <f t="shared" si="1"/>
        <v>0.97281852926564716</v>
      </c>
    </row>
    <row r="13" spans="1:8" x14ac:dyDescent="0.2">
      <c r="A13" s="1">
        <v>110</v>
      </c>
      <c r="B13">
        <v>2300</v>
      </c>
      <c r="C13" s="2">
        <f t="shared" si="2"/>
        <v>2300</v>
      </c>
      <c r="D13" s="2">
        <v>100</v>
      </c>
      <c r="F13">
        <f t="shared" si="1"/>
        <v>1.0617660152821433</v>
      </c>
    </row>
    <row r="14" spans="1:8" x14ac:dyDescent="0.2">
      <c r="A14" s="1">
        <v>120</v>
      </c>
      <c r="B14">
        <v>2775</v>
      </c>
      <c r="C14" s="2">
        <f t="shared" si="2"/>
        <v>2775</v>
      </c>
      <c r="D14" s="2">
        <v>100</v>
      </c>
      <c r="F14">
        <f t="shared" si="1"/>
        <v>1.1583366790852292</v>
      </c>
    </row>
    <row r="15" spans="1:8" x14ac:dyDescent="0.2">
      <c r="A15" s="1">
        <v>130</v>
      </c>
      <c r="B15">
        <v>3170</v>
      </c>
      <c r="C15" s="2">
        <f t="shared" si="2"/>
        <v>3170</v>
      </c>
      <c r="D15" s="2">
        <v>100</v>
      </c>
      <c r="F15">
        <f t="shared" si="1"/>
        <v>1.2464158618356891</v>
      </c>
    </row>
    <row r="16" spans="1:8" x14ac:dyDescent="0.2">
      <c r="A16" s="1">
        <v>140</v>
      </c>
      <c r="B16">
        <v>3570</v>
      </c>
      <c r="C16" s="2">
        <f t="shared" si="2"/>
        <v>3570</v>
      </c>
      <c r="D16" s="2">
        <v>100</v>
      </c>
      <c r="F16">
        <f t="shared" si="1"/>
        <v>1.34429343714526</v>
      </c>
    </row>
    <row r="17" spans="1:6" x14ac:dyDescent="0.2">
      <c r="A17" s="1">
        <v>150</v>
      </c>
      <c r="B17">
        <v>3880</v>
      </c>
      <c r="C17" s="2">
        <f t="shared" si="2"/>
        <v>3880</v>
      </c>
      <c r="D17" s="2">
        <v>100</v>
      </c>
      <c r="F17">
        <f t="shared" si="1"/>
        <v>1.427339794363006</v>
      </c>
    </row>
    <row r="18" spans="1:6" x14ac:dyDescent="0.2">
      <c r="A18" s="1">
        <v>160</v>
      </c>
      <c r="B18">
        <v>4200</v>
      </c>
      <c r="C18" s="2">
        <f t="shared" si="2"/>
        <v>4200</v>
      </c>
      <c r="D18" s="2">
        <v>100</v>
      </c>
      <c r="F18">
        <f t="shared" si="1"/>
        <v>1.5209753993969986</v>
      </c>
    </row>
    <row r="19" spans="1:6" x14ac:dyDescent="0.2">
      <c r="A19" s="1">
        <v>170</v>
      </c>
      <c r="B19">
        <v>4520</v>
      </c>
      <c r="C19" s="2">
        <f t="shared" si="2"/>
        <v>4520</v>
      </c>
      <c r="D19" s="2">
        <v>100</v>
      </c>
      <c r="F19">
        <f t="shared" si="1"/>
        <v>1.6242930134250244</v>
      </c>
    </row>
    <row r="20" spans="1:6" x14ac:dyDescent="0.2">
      <c r="A20" s="1">
        <v>180</v>
      </c>
      <c r="B20">
        <v>4770</v>
      </c>
      <c r="C20" s="2">
        <f t="shared" si="2"/>
        <v>4770</v>
      </c>
      <c r="D20" s="2">
        <v>100</v>
      </c>
      <c r="F20">
        <f t="shared" si="1"/>
        <v>1.713161401161867</v>
      </c>
    </row>
    <row r="21" spans="1:6" x14ac:dyDescent="0.2">
      <c r="A21" s="1">
        <v>190</v>
      </c>
      <c r="B21">
        <v>4995</v>
      </c>
      <c r="C21" s="2">
        <f t="shared" si="2"/>
        <v>4995</v>
      </c>
      <c r="D21" s="2">
        <v>100</v>
      </c>
      <c r="F21">
        <f t="shared" si="1"/>
        <v>1.8005107872809611</v>
      </c>
    </row>
    <row r="22" spans="1:6" x14ac:dyDescent="0.2">
      <c r="A22" s="1">
        <v>200</v>
      </c>
      <c r="B22">
        <v>5160</v>
      </c>
      <c r="C22" s="2">
        <f t="shared" si="2"/>
        <v>5160</v>
      </c>
      <c r="D22" s="2">
        <v>100</v>
      </c>
      <c r="F22">
        <f t="shared" si="1"/>
        <v>1.8697934718405109</v>
      </c>
    </row>
    <row r="23" spans="1:6" x14ac:dyDescent="0.2">
      <c r="A23" s="1"/>
      <c r="C23" s="2"/>
    </row>
    <row r="24" spans="1:6" x14ac:dyDescent="0.2">
      <c r="A24" s="1"/>
      <c r="C24" s="2"/>
    </row>
    <row r="28" spans="1:6" x14ac:dyDescent="0.2">
      <c r="A28" s="1"/>
      <c r="C28" s="2"/>
      <c r="D28" s="2"/>
    </row>
    <row r="29" spans="1:6" x14ac:dyDescent="0.2">
      <c r="A29" s="1"/>
      <c r="C29" s="2"/>
      <c r="D2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2026-02-25T15:21:48Z</dcterms:created>
  <dcterms:modified xsi:type="dcterms:W3CDTF">2026-03-10T22:40:40Z</dcterms:modified>
</cp:coreProperties>
</file>