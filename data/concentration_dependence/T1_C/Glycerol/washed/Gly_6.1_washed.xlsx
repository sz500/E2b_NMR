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Glycerol/washed/"/>
    </mc:Choice>
  </mc:AlternateContent>
  <xr:revisionPtr revIDLastSave="0" documentId="13_ncr:1_{F404D2C9-6B08-8848-B308-4D9938D9A7E9}" xr6:coauthVersionLast="47" xr6:coauthVersionMax="47" xr10:uidLastSave="{00000000-0000-0000-0000-000000000000}"/>
  <bookViews>
    <workbookView xWindow="0" yWindow="0" windowWidth="15420" windowHeight="18000" xr2:uid="{188CDA12-5678-6C4A-AA72-F492B1B60743}"/>
  </bookViews>
  <sheets>
    <sheet name="Gly_6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F6" i="1"/>
  <c r="F7" i="1"/>
  <c r="F8" i="1"/>
  <c r="F9" i="1"/>
  <c r="F10" i="1"/>
  <c r="F11" i="1"/>
  <c r="F12" i="1"/>
  <c r="H1" i="1"/>
  <c r="F5" i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<sst xmlns="http://schemas.openxmlformats.org/spreadsheetml/2006/main" count="10" uniqueCount="10">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</sst>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Gly_6.1!$A$5:$A$12</c:f>
              <c:numCache>
                <c:formatCode>0.00_ </c:formatCode>
                <c:ptCount val="8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2200</c:v>
                </c:pt>
                <c:pt idx="5">
                  <c:v>3100</c:v>
                </c:pt>
                <c:pt idx="6">
                  <c:v>4200</c:v>
                </c:pt>
                <c:pt idx="7">
                  <c:v>5100</c:v>
                </c:pt>
              </c:numCache>
            </c:numRef>
          </c:xVal>
          <c:yVal>
            <c:numRef>
              <c:f>Gly_6.1!$F$5:$F$12</c:f>
              <c:numCache>
                <c:formatCode>General</c:formatCode>
                <c:ptCount val="8"/>
                <c:pt idx="0">
                  <c:v>0.11911370784208852</c:v>
                </c:pt>
                <c:pt idx="1">
                  <c:v>0.25832986043925354</c:v>
                </c:pt>
                <c:pt idx="2">
                  <c:v>0.36799624679131604</c:v>
                </c:pt>
                <c:pt idx="3">
                  <c:v>0.44759311663808865</c:v>
                </c:pt>
                <c:pt idx="4">
                  <c:v>1.1836912979066856</c:v>
                </c:pt>
                <c:pt idx="5">
                  <c:v>1.6426875204798124</c:v>
                </c:pt>
                <c:pt idx="6">
                  <c:v>2.273845250872057</c:v>
                </c:pt>
                <c:pt idx="7">
                  <c:v>2.6974680917716731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82-EC4F-94F8-79C7CBF71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41086</xdr:rowOff>
    </xdr:from>
    <xdr:to>
      <xdr:col>11</xdr:col>
      <xdr:colOff>747058</xdr:colOff>
      <xdr:row>9</xdr:row>
      <xdr:rowOff>93768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B2AA3-7163-4844-8FEF-104A2BE60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FEBD-F3CE-9D47-8002-925426457E5D}">
  <sheetPr codeName="Sheet13"/>
  <dimension ref="A1:K28"/>
  <sheetViews>
    <sheetView tabSelected="1" topLeftCell="A4" zoomScale="125" workbookViewId="0">
      <selection activeCell="C12" sqref="C12"/>
    </sheetView>
  </sheetViews>
  <sheetFormatPr baseColWidth="10" defaultRowHeight="16" x14ac:dyDescent="0.2"/>
  <cols>
    <col min="4" max="4" width="18" customWidth="1"/>
  </cols>
  <sheetData>
    <row r="1" spans="1:11" x14ac:dyDescent="0.2">
      <c r="A1" s="1" t="s">
        <v>0</v>
      </c>
      <c r="B1" s="2">
        <v>6345</v>
      </c>
      <c r="D1" t="s">
        <v>1</v>
      </c>
      <c r="E1" t="s">
        <v>2</v>
      </c>
      <c r="G1" t="s">
        <v>3</v>
      </c>
      <c r="H1">
        <f>1/0.0010422042</f>
        <v>959.50486478561493</v>
      </c>
    </row>
    <row r="2" spans="1:11" x14ac:dyDescent="0.2">
      <c r="A2" s="1" t="s">
        <v>4</v>
      </c>
      <c r="B2" s="2">
        <v>200</v>
      </c>
      <c r="H2">
        <f>1/0.0005387374</f>
        <v>1856.19190351366</v>
      </c>
    </row>
    <row r="4" spans="1:11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11" x14ac:dyDescent="0.2">
      <c r="A5" s="1">
        <v>100</v>
      </c>
      <c r="C5" s="2">
        <v>-4920</v>
      </c>
      <c r="D5" s="2">
        <v>200</v>
      </c>
      <c r="F5">
        <f>-LN(((1-(C5/$B$1))/2))</f>
        <v>0.11911370784208852</v>
      </c>
    </row>
    <row r="6" spans="1:11" x14ac:dyDescent="0.2">
      <c r="A6" s="1">
        <v>400</v>
      </c>
      <c r="C6" s="2">
        <v>-3456</v>
      </c>
      <c r="D6" s="2">
        <v>200</v>
      </c>
      <c r="F6">
        <f t="shared" ref="F6:F12" si="0">-LN(((1-(C6/$B$1))/2))</f>
        <v>0.25832986043925354</v>
      </c>
    </row>
    <row r="7" spans="1:11" x14ac:dyDescent="0.2">
      <c r="A7" s="1">
        <v>700</v>
      </c>
      <c r="C7" s="2">
        <v>-2438</v>
      </c>
      <c r="D7" s="2">
        <v>200</v>
      </c>
      <c r="F7">
        <f t="shared" si="0"/>
        <v>0.36799624679131604</v>
      </c>
    </row>
    <row r="8" spans="1:11" x14ac:dyDescent="0.2">
      <c r="A8" s="1">
        <v>1000</v>
      </c>
      <c r="C8" s="2">
        <v>-1766</v>
      </c>
      <c r="D8" s="2">
        <v>200</v>
      </c>
      <c r="F8">
        <f t="shared" si="0"/>
        <v>0.44759311663808865</v>
      </c>
    </row>
    <row r="9" spans="1:11" x14ac:dyDescent="0.2">
      <c r="A9" s="1">
        <v>2200</v>
      </c>
      <c r="C9" s="2">
        <v>2460</v>
      </c>
      <c r="D9" s="2">
        <v>200</v>
      </c>
      <c r="F9">
        <f t="shared" si="0"/>
        <v>1.1836912979066856</v>
      </c>
    </row>
    <row r="10" spans="1:11" x14ac:dyDescent="0.2">
      <c r="A10" s="1">
        <v>3100</v>
      </c>
      <c r="C10" s="2">
        <v>3890</v>
      </c>
      <c r="D10" s="2">
        <v>200</v>
      </c>
      <c r="F10">
        <f t="shared" si="0"/>
        <v>1.6426875204798124</v>
      </c>
    </row>
    <row r="11" spans="1:11" x14ac:dyDescent="0.2">
      <c r="A11" s="1">
        <v>4200</v>
      </c>
      <c r="C11" s="2">
        <v>5039</v>
      </c>
      <c r="D11" s="2">
        <v>200</v>
      </c>
      <c r="F11">
        <f t="shared" si="0"/>
        <v>2.273845250872057</v>
      </c>
    </row>
    <row r="12" spans="1:11" x14ac:dyDescent="0.2">
      <c r="A12" s="1">
        <v>5100</v>
      </c>
      <c r="C12" s="2">
        <v>5490</v>
      </c>
      <c r="D12" s="2">
        <v>200</v>
      </c>
      <c r="F12">
        <f t="shared" si="0"/>
        <v>2.6974680917716731</v>
      </c>
    </row>
    <row r="13" spans="1:11" x14ac:dyDescent="0.2">
      <c r="A13" s="1"/>
      <c r="C13" s="2"/>
      <c r="D13" s="2"/>
    </row>
    <row r="14" spans="1:11" x14ac:dyDescent="0.2">
      <c r="A14" s="1"/>
      <c r="C14" s="2"/>
      <c r="K14" t="s">
        <v>9</v>
      </c>
    </row>
    <row r="15" spans="1:11" x14ac:dyDescent="0.2">
      <c r="A15" s="1"/>
      <c r="C15" s="2"/>
    </row>
    <row r="16" spans="1:11" x14ac:dyDescent="0.2">
      <c r="A16" s="1"/>
      <c r="C16" s="2"/>
    </row>
    <row r="17" spans="1:4" x14ac:dyDescent="0.2">
      <c r="A17" s="1"/>
      <c r="C17" s="2"/>
    </row>
    <row r="19" spans="1:4" x14ac:dyDescent="0.2">
      <c r="A19" s="1"/>
      <c r="C19" s="2"/>
      <c r="D19" s="2"/>
    </row>
    <row r="20" spans="1:4" x14ac:dyDescent="0.2">
      <c r="A20" s="1"/>
      <c r="C20" s="2"/>
      <c r="D20" s="2"/>
    </row>
    <row r="21" spans="1:4" x14ac:dyDescent="0.2">
      <c r="C21" s="2"/>
    </row>
    <row r="22" spans="1:4" x14ac:dyDescent="0.2">
      <c r="C22" s="2"/>
    </row>
    <row r="23" spans="1:4" x14ac:dyDescent="0.2">
      <c r="C23" s="2"/>
    </row>
    <row r="24" spans="1:4" x14ac:dyDescent="0.2">
      <c r="C24" s="2"/>
    </row>
    <row r="25" spans="1:4" x14ac:dyDescent="0.2">
      <c r="C25" s="2"/>
    </row>
    <row r="26" spans="1:4" x14ac:dyDescent="0.2">
      <c r="C26" s="2"/>
    </row>
    <row r="27" spans="1:4" x14ac:dyDescent="0.2">
      <c r="C27" s="2"/>
    </row>
    <row r="28" spans="1:4" x14ac:dyDescent="0.2">
      <c r="C2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Gly_6.1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2026-02-25T15:21:50Z</dcterms:created>
  <dcterms:modified xsi:type="dcterms:W3CDTF">2026-03-10T22:38:43Z</dcterms:modified>
</cp:coreProperties>
</file>