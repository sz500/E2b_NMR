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_C/Glycerol/washed/"/>
    </mc:Choice>
  </mc:AlternateContent>
  <xr:revisionPtr revIDLastSave="0" documentId="13_ncr:1_{70E86D73-DCEF-C941-9DA9-66A367FEEAE7}" xr6:coauthVersionLast="47" xr6:coauthVersionMax="47" xr10:uidLastSave="{00000000-0000-0000-0000-000000000000}"/>
  <bookViews>
    <workbookView xWindow="0" yWindow="0" windowWidth="15420" windowHeight="18000" xr2:uid="{6D579AE2-C85F-AE41-9DE9-1079B8769EC2}"/>
  </bookViews>
  <sheets>
    <sheet name="Gly_1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H1" i="1"/>
  <c r="F11" i="1"/>
  <c r="F6" i="1"/>
  <c r="F7" i="1"/>
  <c r="F8" i="1"/>
  <c r="F9" i="1"/>
  <c r="F10" i="1"/>
</calcChain>
</file>

<file path=xl/sharedStrings.xml><?xml version="1.0" encoding="utf-8"?>
<sst xmlns="http://schemas.openxmlformats.org/spreadsheetml/2006/main" count="10" uniqueCount="10">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</sst>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262405826733091E-2"/>
          <c:y val="6.7836372260372022E-2"/>
          <c:w val="0.82081357396648391"/>
          <c:h val="0.8507599810271815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Gly_1.5!$A$5:$A$11</c:f>
              <c:numCache>
                <c:formatCode>0.00_ </c:formatCode>
                <c:ptCount val="7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2500</c:v>
                </c:pt>
                <c:pt idx="4">
                  <c:v>3100</c:v>
                </c:pt>
                <c:pt idx="5">
                  <c:v>4000</c:v>
                </c:pt>
                <c:pt idx="6">
                  <c:v>5000</c:v>
                </c:pt>
              </c:numCache>
            </c:numRef>
          </c:xVal>
          <c:yVal>
            <c:numRef>
              <c:f>Gly_1.5!$F$5:$F$11</c:f>
              <c:numCache>
                <c:formatCode>General</c:formatCode>
                <c:ptCount val="7"/>
                <c:pt idx="0">
                  <c:v>9.8528721366122937E-2</c:v>
                </c:pt>
                <c:pt idx="1">
                  <c:v>0.23185750027300378</c:v>
                </c:pt>
                <c:pt idx="2">
                  <c:v>0.3614605227387454</c:v>
                </c:pt>
                <c:pt idx="3">
                  <c:v>1.2295762857873864</c:v>
                </c:pt>
                <c:pt idx="4">
                  <c:v>1.5387327117616365</c:v>
                </c:pt>
                <c:pt idx="5">
                  <c:v>2.0219975359487559</c:v>
                </c:pt>
                <c:pt idx="6">
                  <c:v>2.5876997699405808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7D-D540-A95C-98BC9B396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400740</xdr:colOff>
      <xdr:row>4</xdr:row>
      <xdr:rowOff>191827</xdr:rowOff>
    </xdr:from>
    <xdr:to>
      <xdr:col>11</xdr:col>
      <xdr:colOff>228691</xdr:colOff>
      <xdr:row>11</xdr:row>
      <xdr:rowOff>42346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72620-627B-4043-BAD6-1882D57E8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C805-12B5-C84C-9E8D-6D8B3404CA4E}">
  <sheetPr codeName="Sheet14"/>
  <dimension ref="A1:K31"/>
  <sheetViews>
    <sheetView tabSelected="1" workbookViewId="0">
      <selection activeCell="A8" sqref="A8:XFD8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7780</v>
      </c>
      <c r="D1" t="s">
        <v>1</v>
      </c>
      <c r="E1" t="s">
        <v>2</v>
      </c>
      <c r="G1" t="s">
        <v>3</v>
      </c>
      <c r="H1">
        <f>1/0.0005068768</f>
        <v>1972.8659903155954</v>
      </c>
    </row>
    <row r="2" spans="1:8" x14ac:dyDescent="0.2">
      <c r="A2" s="1" t="s">
        <v>4</v>
      </c>
      <c r="B2" s="2">
        <v>100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100</v>
      </c>
      <c r="C5">
        <v>-6320</v>
      </c>
      <c r="D5" s="2">
        <v>200</v>
      </c>
      <c r="F5">
        <f>-LN(((1-(C5/$B$1))/2))</f>
        <v>9.8528721366122937E-2</v>
      </c>
    </row>
    <row r="6" spans="1:8" x14ac:dyDescent="0.2">
      <c r="A6" s="1">
        <v>400</v>
      </c>
      <c r="C6">
        <v>-4560</v>
      </c>
      <c r="D6" s="2">
        <v>200</v>
      </c>
      <c r="F6">
        <f t="shared" ref="F6:F11" si="0">-LN(((1-(C6/$B$1))/2))</f>
        <v>0.23185750027300378</v>
      </c>
    </row>
    <row r="7" spans="1:8" x14ac:dyDescent="0.2">
      <c r="A7" s="1">
        <v>700</v>
      </c>
      <c r="C7">
        <v>-3060</v>
      </c>
      <c r="D7" s="2">
        <v>200</v>
      </c>
      <c r="F7">
        <f t="shared" si="0"/>
        <v>0.3614605227387454</v>
      </c>
    </row>
    <row r="8" spans="1:8" x14ac:dyDescent="0.2">
      <c r="A8" s="1">
        <v>2500</v>
      </c>
      <c r="C8">
        <v>3230</v>
      </c>
      <c r="D8" s="2">
        <v>200</v>
      </c>
      <c r="F8">
        <f t="shared" si="0"/>
        <v>1.2295762857873864</v>
      </c>
    </row>
    <row r="9" spans="1:8" x14ac:dyDescent="0.2">
      <c r="A9" s="1">
        <v>3100</v>
      </c>
      <c r="C9">
        <v>4440</v>
      </c>
      <c r="D9" s="2">
        <v>200</v>
      </c>
      <c r="F9">
        <f t="shared" si="0"/>
        <v>1.5387327117616365</v>
      </c>
    </row>
    <row r="10" spans="1:8" x14ac:dyDescent="0.2">
      <c r="A10" s="1">
        <v>4000</v>
      </c>
      <c r="C10">
        <v>5720</v>
      </c>
      <c r="D10" s="2">
        <v>200</v>
      </c>
      <c r="F10">
        <f t="shared" si="0"/>
        <v>2.0219975359487559</v>
      </c>
    </row>
    <row r="11" spans="1:8" x14ac:dyDescent="0.2">
      <c r="A11" s="1">
        <v>5000</v>
      </c>
      <c r="C11">
        <v>6610</v>
      </c>
      <c r="D11" s="2">
        <v>200</v>
      </c>
      <c r="F11">
        <f t="shared" si="0"/>
        <v>2.5876997699405808</v>
      </c>
    </row>
    <row r="14" spans="1:8" x14ac:dyDescent="0.2">
      <c r="A14" s="1"/>
      <c r="C14" s="2"/>
      <c r="D14" s="2"/>
    </row>
    <row r="15" spans="1:8" x14ac:dyDescent="0.2">
      <c r="A15" s="1"/>
      <c r="C15" s="2"/>
      <c r="D15" s="2"/>
    </row>
    <row r="16" spans="1:8" x14ac:dyDescent="0.2">
      <c r="C16" s="2"/>
      <c r="D16" s="2"/>
    </row>
    <row r="17" spans="1:11" x14ac:dyDescent="0.2">
      <c r="A17" s="1"/>
      <c r="C17" s="2"/>
      <c r="D17" s="2"/>
    </row>
    <row r="18" spans="1:11" x14ac:dyDescent="0.2">
      <c r="A18" s="1"/>
      <c r="C18" s="2"/>
      <c r="K18" t="s">
        <v>9</v>
      </c>
    </row>
    <row r="19" spans="1:11" x14ac:dyDescent="0.2">
      <c r="A19" s="1"/>
      <c r="C19" s="2"/>
    </row>
    <row r="20" spans="1:11" x14ac:dyDescent="0.2">
      <c r="A20" s="1"/>
      <c r="C20" s="2"/>
    </row>
    <row r="21" spans="1:11" x14ac:dyDescent="0.2">
      <c r="A21" s="1"/>
      <c r="C21" s="2"/>
    </row>
    <row r="22" spans="1:11" x14ac:dyDescent="0.2">
      <c r="B22" s="2"/>
    </row>
    <row r="23" spans="1:11" x14ac:dyDescent="0.2">
      <c r="A23" s="1"/>
      <c r="C23" s="2"/>
      <c r="D23" s="2"/>
    </row>
    <row r="24" spans="1:11" x14ac:dyDescent="0.2">
      <c r="A24" s="1"/>
      <c r="C24" s="2"/>
      <c r="D24" s="2"/>
    </row>
    <row r="25" spans="1:11" x14ac:dyDescent="0.2">
      <c r="C25" s="2"/>
    </row>
    <row r="26" spans="1:11" x14ac:dyDescent="0.2">
      <c r="C26" s="2"/>
    </row>
    <row r="27" spans="1:11" x14ac:dyDescent="0.2">
      <c r="C27" s="2"/>
    </row>
    <row r="28" spans="1:11" x14ac:dyDescent="0.2">
      <c r="C28" s="2"/>
    </row>
    <row r="29" spans="1:11" x14ac:dyDescent="0.2">
      <c r="C29" s="2"/>
    </row>
    <row r="30" spans="1:11" x14ac:dyDescent="0.2">
      <c r="C30" s="2"/>
    </row>
    <row r="31" spans="1:11" x14ac:dyDescent="0.2">
      <c r="C3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2026-02-25T15:21:50Z</dcterms:created>
  <dcterms:modified xsi:type="dcterms:W3CDTF">2026-03-10T22:37:26Z</dcterms:modified>
</cp:coreProperties>
</file>