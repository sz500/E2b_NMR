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concentration_dependence/T1/Glycerol/raw/"/>
    </mc:Choice>
  </mc:AlternateContent>
  <xr:revisionPtr revIDLastSave="0" documentId="13_ncr:1_{BC33EFB9-45A6-8B40-8F7C-29ADF87E6E78}" xr6:coauthVersionLast="47" xr6:coauthVersionMax="47" xr10:uidLastSave="{00000000-0000-0000-0000-000000000000}"/>
  <bookViews>
    <workbookView xWindow="14400" yWindow="0" windowWidth="14400" windowHeight="18000" xr2:uid="{06CB0E91-93C0-FB47-B785-3178472A8D5C}"/>
  </bookViews>
  <sheets>
    <sheet name="Gly_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  <c r="F14" i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<sst xmlns="http://schemas.openxmlformats.org/spreadsheetml/2006/main" count="9" uniqueCount="9">
  <si>
    <t>M0 （mV)</t>
  </si>
  <si>
    <t>repetition time</t>
  </si>
  <si>
    <t>2s</t>
  </si>
  <si>
    <t>T1</t>
  </si>
  <si>
    <t>delta M0</t>
  </si>
  <si>
    <t>tau(ms)</t>
  </si>
  <si>
    <t>V (mV)</t>
  </si>
  <si>
    <t>delta V (mV)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</si>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</sst>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91434191543024"/>
          <c:y val="6.5412059923627558E-2"/>
          <c:w val="0.81048965575178233"/>
          <c:h val="0.7768253827635617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4273484119528549"/>
                  <c:y val="8.098929510719367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Gly_25!$A$5:$A$14</c:f>
              <c:numCache>
                <c:formatCode>0.00_ 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350</c:v>
                </c:pt>
                <c:pt idx="6">
                  <c:v>450</c:v>
                </c:pt>
                <c:pt idx="7">
                  <c:v>550</c:v>
                </c:pt>
                <c:pt idx="8">
                  <c:v>650</c:v>
                </c:pt>
                <c:pt idx="9">
                  <c:v>750</c:v>
                </c:pt>
              </c:numCache>
            </c:numRef>
          </c:xVal>
          <c:yVal>
            <c:numRef>
              <c:f>Gly_25!$F$5:$F$14</c:f>
              <c:numCache>
                <c:formatCode>General</c:formatCode>
                <c:ptCount val="10"/>
                <c:pt idx="0">
                  <c:v>3.619348793179962E-2</c:v>
                </c:pt>
                <c:pt idx="1">
                  <c:v>5.7646695099649911E-2</c:v>
                </c:pt>
                <c:pt idx="2">
                  <c:v>9.7553357748216815E-2</c:v>
                </c:pt>
                <c:pt idx="3">
                  <c:v>0.13531128036821888</c:v>
                </c:pt>
                <c:pt idx="4">
                  <c:v>0.1406302307083378</c:v>
                </c:pt>
                <c:pt idx="5">
                  <c:v>0.17586938783060277</c:v>
                </c:pt>
                <c:pt idx="6">
                  <c:v>0.19905834914947845</c:v>
                </c:pt>
                <c:pt idx="7">
                  <c:v>0.22730156146287336</c:v>
                </c:pt>
                <c:pt idx="8">
                  <c:v>0.28971271741760929</c:v>
                </c:pt>
                <c:pt idx="9">
                  <c:v>0.30770602437676198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11-BE4B-BCD1-7F5BBEAC2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387723</xdr:colOff>
      <xdr:row>15</xdr:row>
      <xdr:rowOff>184810</xdr:rowOff>
    </xdr:from>
    <xdr:to>
      <xdr:col>4</xdr:col>
      <xdr:colOff>243788</xdr:colOff>
      <xdr:row>25</xdr:row>
      <xdr:rowOff>89555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65EE64-2772-F04F-AC1E-8EC39E13E5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5483-BBCE-DE44-8DC8-147BA592BFF6}">
  <sheetPr codeName="Sheet10"/>
  <dimension ref="A1:H15"/>
  <sheetViews>
    <sheetView tabSelected="1" zoomScale="150" workbookViewId="0">
      <selection activeCell="B6" sqref="B6"/>
    </sheetView>
  </sheetViews>
  <sheetFormatPr baseColWidth="10" defaultRowHeight="16" x14ac:dyDescent="0.2"/>
  <cols>
    <col min="4" max="4" width="18" customWidth="1"/>
  </cols>
  <sheetData>
    <row r="1" spans="1:8" x14ac:dyDescent="0.2">
      <c r="A1" s="1" t="s">
        <v>0</v>
      </c>
      <c r="B1" s="2">
        <v>7230</v>
      </c>
      <c r="D1" t="s">
        <v>1</v>
      </c>
      <c r="E1" t="s">
        <v>2</v>
      </c>
      <c r="G1" t="s">
        <v>3</v>
      </c>
      <c r="H1">
        <f>1/0.0004</f>
        <v>2500</v>
      </c>
    </row>
    <row r="2" spans="1:8" x14ac:dyDescent="0.2">
      <c r="A2" s="1" t="s">
        <v>4</v>
      </c>
      <c r="B2" s="2">
        <v>100</v>
      </c>
    </row>
    <row r="4" spans="1:8" x14ac:dyDescent="0.2">
      <c r="A4" s="1" t="s">
        <v>5</v>
      </c>
      <c r="C4" s="2" t="s">
        <v>6</v>
      </c>
      <c r="D4" s="2" t="s">
        <v>7</v>
      </c>
      <c r="F4" t="s">
        <v>8</v>
      </c>
    </row>
    <row r="5" spans="1:8" x14ac:dyDescent="0.2">
      <c r="A5" s="1">
        <v>50</v>
      </c>
      <c r="C5" s="2">
        <v>-6716</v>
      </c>
      <c r="D5" s="2">
        <v>50</v>
      </c>
      <c r="F5">
        <f t="shared" ref="F5:F14" si="0">-LN(((1-(C5/$B$1))/2))</f>
        <v>3.619348793179962E-2</v>
      </c>
    </row>
    <row r="6" spans="1:8" x14ac:dyDescent="0.2">
      <c r="A6" s="1">
        <v>100</v>
      </c>
      <c r="C6" s="2">
        <v>-6420</v>
      </c>
      <c r="D6" s="2">
        <v>50</v>
      </c>
      <c r="F6">
        <f t="shared" si="0"/>
        <v>5.7646695099649911E-2</v>
      </c>
    </row>
    <row r="7" spans="1:8" x14ac:dyDescent="0.2">
      <c r="A7" s="1">
        <v>150</v>
      </c>
      <c r="C7" s="2">
        <v>-5886</v>
      </c>
      <c r="D7" s="2">
        <v>50</v>
      </c>
      <c r="F7">
        <f t="shared" si="0"/>
        <v>9.7553357748216815E-2</v>
      </c>
    </row>
    <row r="8" spans="1:8" x14ac:dyDescent="0.2">
      <c r="A8" s="1">
        <v>200</v>
      </c>
      <c r="C8" s="2">
        <v>-5400</v>
      </c>
      <c r="D8" s="2">
        <v>50</v>
      </c>
      <c r="F8">
        <f t="shared" si="0"/>
        <v>0.13531128036821888</v>
      </c>
    </row>
    <row r="9" spans="1:8" x14ac:dyDescent="0.2">
      <c r="A9" s="1">
        <v>250</v>
      </c>
      <c r="C9" s="2">
        <v>-5333</v>
      </c>
      <c r="D9" s="2">
        <v>50</v>
      </c>
      <c r="F9">
        <f t="shared" si="0"/>
        <v>0.1406302307083378</v>
      </c>
    </row>
    <row r="10" spans="1:8" x14ac:dyDescent="0.2">
      <c r="A10" s="1">
        <v>350</v>
      </c>
      <c r="C10" s="2">
        <v>-4898</v>
      </c>
      <c r="D10" s="2">
        <v>50</v>
      </c>
      <c r="F10">
        <f t="shared" si="0"/>
        <v>0.17586938783060277</v>
      </c>
    </row>
    <row r="11" spans="1:8" x14ac:dyDescent="0.2">
      <c r="A11" s="1">
        <v>450</v>
      </c>
      <c r="C11" s="2">
        <v>-4620</v>
      </c>
      <c r="D11" s="2">
        <v>50</v>
      </c>
      <c r="F11">
        <f t="shared" si="0"/>
        <v>0.19905834914947845</v>
      </c>
    </row>
    <row r="12" spans="1:8" x14ac:dyDescent="0.2">
      <c r="A12" s="1">
        <v>550</v>
      </c>
      <c r="C12" s="2">
        <v>-4290</v>
      </c>
      <c r="D12" s="2">
        <v>50</v>
      </c>
      <c r="F12">
        <f>-LN(((1-(C12/$B$1))/2))</f>
        <v>0.22730156146287336</v>
      </c>
    </row>
    <row r="13" spans="1:8" x14ac:dyDescent="0.2">
      <c r="A13" s="1">
        <v>650</v>
      </c>
      <c r="C13" s="2">
        <v>-3593</v>
      </c>
      <c r="D13" s="2">
        <v>50</v>
      </c>
      <c r="F13">
        <f>-LN(((1-(C13/$B$1))/2))</f>
        <v>0.28971271741760929</v>
      </c>
    </row>
    <row r="14" spans="1:8" x14ac:dyDescent="0.2">
      <c r="A14" s="1">
        <v>750</v>
      </c>
      <c r="C14" s="2">
        <v>-3400</v>
      </c>
      <c r="D14" s="2">
        <v>50</v>
      </c>
      <c r="F14">
        <f t="shared" si="0"/>
        <v>0.30770602437676198</v>
      </c>
    </row>
    <row r="15" spans="1:8" x14ac:dyDescent="0.2">
      <c r="A15" s="1"/>
      <c r="C15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2026-02-25T15:21:49Z</dcterms:created>
  <dcterms:modified xsi:type="dcterms:W3CDTF">2026-03-01T17:53:17Z</dcterms:modified>
</cp:coreProperties>
</file>