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9177BA51-A5A9-6C4F-AA20-70BFA65A483C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<sst xmlns="http://schemas.openxmlformats.org/spreadsheetml/2006/main" count="9" uniqueCount="9">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</sst>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Gly_50!$A$5:$A$15</c:f>
              <c:numCache>
                <c:formatCode>0.00_ </c:formatCode>
                <c:ptCount val="11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350</c:v>
                </c:pt>
                <c:pt idx="6">
                  <c:v>450</c:v>
                </c:pt>
                <c:pt idx="7">
                  <c:v>550</c:v>
                </c:pt>
                <c:pt idx="8">
                  <c:v>650</c:v>
                </c:pt>
                <c:pt idx="9">
                  <c:v>750</c:v>
                </c:pt>
              </c:numCache>
            </c:numRef>
          </c:xVal>
          <c:yVal>
            <c:numRef>
              <c:f>Gly_50!$F$5:$F$15</c:f>
              <c:numCache>
                <c:formatCode>General</c:formatCode>
                <c:ptCount val="11"/>
                <c:pt idx="0">
                  <c:v>0.15209799350951617</c:v>
                </c:pt>
                <c:pt idx="1">
                  <c:v>0.28312625591592017</c:v>
                </c:pt>
                <c:pt idx="2">
                  <c:v>0.41199321924908777</c:v>
                </c:pt>
                <c:pt idx="3">
                  <c:v>0.50626980723013004</c:v>
                </c:pt>
                <c:pt idx="4">
                  <c:v>0.85164519591492904</c:v>
                </c:pt>
                <c:pt idx="5">
                  <c:v>0.98540592003913807</c:v>
                </c:pt>
                <c:pt idx="6">
                  <c:v>1.2603257408770678</c:v>
                </c:pt>
                <c:pt idx="7">
                  <c:v>1.5272899408251015</c:v>
                </c:pt>
                <c:pt idx="8">
                  <c:v>1.8055527913603908</c:v>
                </c:pt>
                <c:pt idx="9">
                  <c:v>2.0712559570933968</c:v>
                </c:pt>
                <c:pt idx="10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90715</xdr:colOff>
      <xdr:row>4</xdr:row>
      <xdr:rowOff>0</xdr:rowOff>
    </xdr:from>
    <xdr:to>
      <xdr:col>11</xdr:col>
      <xdr:colOff>747059</xdr:colOff>
      <xdr:row>17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5"/>
  <sheetViews>
    <sheetView tabSelected="1" topLeftCell="E1" zoomScale="140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7300</v>
      </c>
      <c r="D1" t="s">
        <v>1</v>
      </c>
      <c r="E1" t="s">
        <v>2</v>
      </c>
      <c r="G1" t="s">
        <v>3</v>
      </c>
      <c r="H1">
        <f>1/0.0028</f>
        <v>357.14285714285717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5240</v>
      </c>
      <c r="C5" s="2">
        <f t="shared" ref="C5:C8" si="0">-B5</f>
        <v>-5240</v>
      </c>
      <c r="D5" s="2">
        <v>50</v>
      </c>
      <c r="F5">
        <f t="shared" ref="F5:F28" si="1">-LN(((1-(C5/$B$1))/2))</f>
        <v>0.15209799350951617</v>
      </c>
    </row>
    <row r="6" spans="1:8" x14ac:dyDescent="0.2">
      <c r="A6" s="1">
        <v>100</v>
      </c>
      <c r="B6">
        <v>3700</v>
      </c>
      <c r="C6" s="2">
        <f t="shared" si="0"/>
        <v>-3700</v>
      </c>
      <c r="D6" s="2">
        <v>50</v>
      </c>
      <c r="F6">
        <f t="shared" si="1"/>
        <v>0.28312625591592017</v>
      </c>
    </row>
    <row r="7" spans="1:8" x14ac:dyDescent="0.2">
      <c r="A7" s="1">
        <v>150</v>
      </c>
      <c r="B7">
        <v>2370</v>
      </c>
      <c r="C7" s="2">
        <f t="shared" si="0"/>
        <v>-2370</v>
      </c>
      <c r="D7" s="2">
        <v>50</v>
      </c>
      <c r="F7">
        <f t="shared" si="1"/>
        <v>0.41199321924908777</v>
      </c>
    </row>
    <row r="8" spans="1:8" x14ac:dyDescent="0.2">
      <c r="A8" s="1">
        <v>200</v>
      </c>
      <c r="B8">
        <v>1500</v>
      </c>
      <c r="C8" s="2">
        <f t="shared" si="0"/>
        <v>-1500</v>
      </c>
      <c r="D8" s="2">
        <v>50</v>
      </c>
      <c r="F8">
        <f t="shared" si="1"/>
        <v>0.50626980723013004</v>
      </c>
    </row>
    <row r="9" spans="1:8" x14ac:dyDescent="0.2">
      <c r="A9" s="1">
        <v>300</v>
      </c>
      <c r="B9">
        <v>1070</v>
      </c>
      <c r="C9" s="2">
        <f>B9</f>
        <v>1070</v>
      </c>
      <c r="D9" s="2">
        <v>50</v>
      </c>
      <c r="F9">
        <f t="shared" si="1"/>
        <v>0.85164519591492904</v>
      </c>
    </row>
    <row r="10" spans="1:8" x14ac:dyDescent="0.2">
      <c r="A10" s="1">
        <v>350</v>
      </c>
      <c r="C10" s="2">
        <v>1850</v>
      </c>
      <c r="D10" s="2">
        <v>50</v>
      </c>
      <c r="F10">
        <f t="shared" si="1"/>
        <v>0.98540592003913807</v>
      </c>
    </row>
    <row r="11" spans="1:8" x14ac:dyDescent="0.2">
      <c r="A11" s="1">
        <v>450</v>
      </c>
      <c r="C11" s="2">
        <v>3160</v>
      </c>
      <c r="D11" s="2">
        <v>50</v>
      </c>
      <c r="F11">
        <f t="shared" si="1"/>
        <v>1.2603257408770678</v>
      </c>
    </row>
    <row r="12" spans="1:8" x14ac:dyDescent="0.2">
      <c r="A12" s="1">
        <v>550</v>
      </c>
      <c r="C12" s="2">
        <v>4130</v>
      </c>
      <c r="D12" s="2">
        <v>50</v>
      </c>
      <c r="F12">
        <f t="shared" si="1"/>
        <v>1.5272899408251015</v>
      </c>
    </row>
    <row r="13" spans="1:8" x14ac:dyDescent="0.2">
      <c r="A13" s="1">
        <v>650</v>
      </c>
      <c r="C13" s="2">
        <v>4900</v>
      </c>
      <c r="D13" s="2">
        <v>50</v>
      </c>
      <c r="F13">
        <f t="shared" si="1"/>
        <v>1.8055527913603908</v>
      </c>
    </row>
    <row r="14" spans="1:8" x14ac:dyDescent="0.2">
      <c r="A14" s="1">
        <v>750</v>
      </c>
      <c r="C14" s="2">
        <v>5460</v>
      </c>
      <c r="D14" s="2">
        <v>50</v>
      </c>
      <c r="F14">
        <f t="shared" si="1"/>
        <v>2.0712559570933968</v>
      </c>
    </row>
    <row r="15" spans="1:8" x14ac:dyDescent="0.2">
      <c r="F15">
        <f t="shared" si="1"/>
        <v>0.69314718055994529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2026-03-01T17:03:15Z</dcterms:modified>
</cp:coreProperties>
</file>