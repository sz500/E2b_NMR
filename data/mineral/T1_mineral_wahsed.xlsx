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ychus/Coding/E2b_NMR/data/mineral/"/>
    </mc:Choice>
  </mc:AlternateContent>
  <xr:revisionPtr revIDLastSave="0" documentId="13_ncr:1_{52327EB4-5241-1C45-9145-081A0125198C}" xr6:coauthVersionLast="47" xr6:coauthVersionMax="47" xr10:uidLastSave="{00000000-0000-0000-0000-000000000000}"/>
  <bookViews>
    <workbookView xWindow="19200" yWindow="0" windowWidth="19200" windowHeight="21600" xr2:uid="{406179CF-407E-0D4F-A266-0E9ADFD7775E}"/>
  </bookViews>
  <sheets>
    <sheet name="Mineral Oi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</calcChain>
</file>

<file path=xl/sharedStrings.xml><?xml version="1.0" encoding="utf-8"?>
<sst xmlns="http://schemas.openxmlformats.org/spreadsheetml/2006/main" count="9" uniqueCount="9">
  <si>
    <t>M0 （mV)</t>
  </si>
  <si>
    <t>repetition time</t>
  </si>
  <si>
    <t>2s</t>
  </si>
  <si>
    <t>delta M0</t>
  </si>
  <si>
    <t>tau(ms)</t>
  </si>
  <si>
    <t>V (mV)</t>
  </si>
  <si>
    <t>delta V (mV)</t>
  </si>
  <si>
    <t>y</t>
  </si>
  <si>
    <t>T1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</si>
</sst>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_ 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'Mineral Oil'!$A$5:$A$22</c:f>
              <c:numCache>
                <c:formatCode>0.00_ </c:formatCode>
                <c:ptCount val="18"/>
                <c:pt idx="0">
                  <c:v>10</c:v>
                </c:pt>
                <c:pt idx="1">
                  <c:v>20</c:v>
                </c:pt>
                <c:pt idx="2">
                  <c:v>30</c:v>
                </c:pt>
                <c:pt idx="3">
                  <c:v>40</c:v>
                </c:pt>
                <c:pt idx="4">
                  <c:v>50</c:v>
                </c:pt>
                <c:pt idx="5">
                  <c:v>80</c:v>
                </c:pt>
                <c:pt idx="6">
                  <c:v>90</c:v>
                </c:pt>
                <c:pt idx="7">
                  <c:v>100</c:v>
                </c:pt>
                <c:pt idx="8">
                  <c:v>110</c:v>
                </c:pt>
                <c:pt idx="9">
                  <c:v>120</c:v>
                </c:pt>
                <c:pt idx="10">
                  <c:v>130</c:v>
                </c:pt>
                <c:pt idx="11">
                  <c:v>140</c:v>
                </c:pt>
                <c:pt idx="12">
                  <c:v>150</c:v>
                </c:pt>
                <c:pt idx="13">
                  <c:v>160</c:v>
                </c:pt>
                <c:pt idx="14">
                  <c:v>170</c:v>
                </c:pt>
                <c:pt idx="15">
                  <c:v>180</c:v>
                </c:pt>
                <c:pt idx="16">
                  <c:v>190</c:v>
                </c:pt>
                <c:pt idx="17">
                  <c:v>200</c:v>
                </c:pt>
              </c:numCache>
            </c:numRef>
          </c:xVal>
          <c:yVal>
            <c:numRef>
              <c:f>'Mineral Oil'!$F$5:$F$22</c:f>
              <c:numCache>
                <c:formatCode>General</c:formatCode>
                <c:ptCount val="18"/>
                <c:pt idx="0">
                  <c:v>0.11801001672189923</c:v>
                </c:pt>
                <c:pt idx="1">
                  <c:v>0.21722534431021751</c:v>
                </c:pt>
                <c:pt idx="2">
                  <c:v>0.31486381387413348</c:v>
                </c:pt>
                <c:pt idx="3">
                  <c:v>0.41184013407710968</c:v>
                </c:pt>
                <c:pt idx="4">
                  <c:v>0.50017490951645416</c:v>
                </c:pt>
                <c:pt idx="5">
                  <c:v>0.79293665116831613</c:v>
                </c:pt>
                <c:pt idx="6">
                  <c:v>0.88095863966386956</c:v>
                </c:pt>
                <c:pt idx="7">
                  <c:v>0.96640859268528823</c:v>
                </c:pt>
                <c:pt idx="8">
                  <c:v>1.0490243582018801</c:v>
                </c:pt>
                <c:pt idx="9">
                  <c:v>1.1243599268760816</c:v>
                </c:pt>
                <c:pt idx="10">
                  <c:v>1.2109805414833406</c:v>
                </c:pt>
                <c:pt idx="11">
                  <c:v>1.2996554929816535</c:v>
                </c:pt>
                <c:pt idx="12">
                  <c:v>1.3614654994660207</c:v>
                </c:pt>
                <c:pt idx="13">
                  <c:v>1.4515034981314825</c:v>
                </c:pt>
                <c:pt idx="14">
                  <c:v>1.5110851339336788</c:v>
                </c:pt>
                <c:pt idx="15">
                  <c:v>1.5764678931965306</c:v>
                </c:pt>
                <c:pt idx="16">
                  <c:v>1.6610252812245936</c:v>
                </c:pt>
                <c:pt idx="17">
                  <c:v>1.7216499030410286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12-2541-AF12-CC42F8ABE0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6385952"/>
        <c:axId val="1147070832"/>
      </c:scatterChart>
      <c:valAx>
        <c:axId val="1146385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_ 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7070832"/>
        <c:crosses val="autoZero"/>
        <c:crossBetween val="midCat"/>
      </c:valAx>
      <c:valAx>
        <c:axId val="1147070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6385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94903</xdr:colOff>
      <xdr:row>5</xdr:row>
      <xdr:rowOff>20766</xdr:rowOff>
    </xdr:from>
    <xdr:to>
      <xdr:col>11</xdr:col>
      <xdr:colOff>747058</xdr:colOff>
      <xdr:row>16</xdr:row>
      <xdr:rowOff>73448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20E1BF1-9AD0-A04D-84E0-F151FDAF76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A94B6-EDBF-FA48-8CBB-AF7154F8BF04}">
  <sheetPr codeName="Sheet7"/>
  <dimension ref="A1:H29"/>
  <sheetViews>
    <sheetView tabSelected="1" topLeftCell="A3" zoomScale="135" workbookViewId="0">
      <selection activeCell="A10" sqref="A10:XFD10"/>
    </sheetView>
  </sheetViews>
  <sheetFormatPr baseColWidth="10" defaultRowHeight="16" x14ac:dyDescent="0.2"/>
  <cols>
    <col min="4" max="4" width="18" customWidth="1"/>
  </cols>
  <sheetData>
    <row r="1" spans="1:8" x14ac:dyDescent="0.2">
      <c r="A1" s="1" t="s">
        <v>0</v>
      </c>
      <c r="B1" s="2">
        <v>3580</v>
      </c>
      <c r="D1" t="s">
        <v>1</v>
      </c>
      <c r="E1" t="s">
        <v>2</v>
      </c>
      <c r="G1" t="s">
        <v>8</v>
      </c>
      <c r="H1">
        <f>1/0.0084</f>
        <v>119.04761904761905</v>
      </c>
    </row>
    <row r="2" spans="1:8" x14ac:dyDescent="0.2">
      <c r="A2" s="1" t="s">
        <v>3</v>
      </c>
      <c r="B2" s="2">
        <v>40</v>
      </c>
    </row>
    <row r="4" spans="1:8" x14ac:dyDescent="0.2">
      <c r="A4" s="1" t="s">
        <v>4</v>
      </c>
      <c r="C4" s="2" t="s">
        <v>5</v>
      </c>
      <c r="D4" s="2" t="s">
        <v>6</v>
      </c>
      <c r="F4" t="s">
        <v>7</v>
      </c>
    </row>
    <row r="5" spans="1:8" x14ac:dyDescent="0.2">
      <c r="A5" s="1">
        <v>10</v>
      </c>
      <c r="C5" s="2">
        <v>-2783</v>
      </c>
      <c r="D5" s="2">
        <v>50</v>
      </c>
      <c r="F5">
        <f>-LN(((1-(C5/$B$1))/2))</f>
        <v>0.11801001672189923</v>
      </c>
    </row>
    <row r="6" spans="1:8" x14ac:dyDescent="0.2">
      <c r="A6" s="1">
        <v>20</v>
      </c>
      <c r="C6" s="2">
        <v>-2182</v>
      </c>
      <c r="D6" s="2">
        <v>50</v>
      </c>
      <c r="F6">
        <f t="shared" ref="F6:F22" si="0">-LN(((1-(C6/$B$1))/2))</f>
        <v>0.21722534431021751</v>
      </c>
    </row>
    <row r="7" spans="1:8" x14ac:dyDescent="0.2">
      <c r="A7" s="1">
        <v>30</v>
      </c>
      <c r="C7" s="2">
        <v>-1646</v>
      </c>
      <c r="D7" s="2">
        <v>50</v>
      </c>
      <c r="F7">
        <f t="shared" si="0"/>
        <v>0.31486381387413348</v>
      </c>
    </row>
    <row r="8" spans="1:8" x14ac:dyDescent="0.2">
      <c r="A8" s="1">
        <v>40</v>
      </c>
      <c r="C8" s="2">
        <v>-1163</v>
      </c>
      <c r="D8" s="2">
        <v>50</v>
      </c>
      <c r="F8">
        <f t="shared" si="0"/>
        <v>0.41184013407710968</v>
      </c>
    </row>
    <row r="9" spans="1:8" x14ac:dyDescent="0.2">
      <c r="A9" s="1">
        <v>50</v>
      </c>
      <c r="C9" s="2">
        <v>-762</v>
      </c>
      <c r="D9" s="2">
        <v>50</v>
      </c>
      <c r="F9">
        <f t="shared" si="0"/>
        <v>0.50017490951645416</v>
      </c>
    </row>
    <row r="10" spans="1:8" x14ac:dyDescent="0.2">
      <c r="A10" s="1">
        <v>80</v>
      </c>
      <c r="C10" s="2">
        <v>340</v>
      </c>
      <c r="D10" s="2">
        <v>50</v>
      </c>
      <c r="F10">
        <f t="shared" si="0"/>
        <v>0.79293665116831613</v>
      </c>
    </row>
    <row r="11" spans="1:8" x14ac:dyDescent="0.2">
      <c r="A11" s="1">
        <v>90</v>
      </c>
      <c r="C11" s="2">
        <v>613</v>
      </c>
      <c r="D11" s="2">
        <v>50</v>
      </c>
      <c r="F11">
        <f t="shared" si="0"/>
        <v>0.88095863966386956</v>
      </c>
    </row>
    <row r="12" spans="1:8" x14ac:dyDescent="0.2">
      <c r="A12" s="1">
        <v>100</v>
      </c>
      <c r="C12" s="2">
        <v>856</v>
      </c>
      <c r="D12" s="2">
        <v>50</v>
      </c>
      <c r="F12">
        <f t="shared" si="0"/>
        <v>0.96640859268528823</v>
      </c>
    </row>
    <row r="13" spans="1:8" x14ac:dyDescent="0.2">
      <c r="A13" s="1">
        <v>110</v>
      </c>
      <c r="C13" s="2">
        <v>1072</v>
      </c>
      <c r="D13" s="2">
        <v>50</v>
      </c>
      <c r="F13">
        <f t="shared" si="0"/>
        <v>1.0490243582018801</v>
      </c>
    </row>
    <row r="14" spans="1:8" x14ac:dyDescent="0.2">
      <c r="A14" s="1">
        <v>120</v>
      </c>
      <c r="C14" s="2">
        <v>1254</v>
      </c>
      <c r="D14" s="2">
        <v>50</v>
      </c>
      <c r="F14">
        <f t="shared" si="0"/>
        <v>1.1243599268760816</v>
      </c>
    </row>
    <row r="15" spans="1:8" x14ac:dyDescent="0.2">
      <c r="A15" s="1">
        <v>130</v>
      </c>
      <c r="C15" s="2">
        <v>1447</v>
      </c>
      <c r="D15" s="2">
        <v>50</v>
      </c>
      <c r="F15">
        <f t="shared" si="0"/>
        <v>1.2109805414833406</v>
      </c>
    </row>
    <row r="16" spans="1:8" x14ac:dyDescent="0.2">
      <c r="A16" s="1">
        <v>140</v>
      </c>
      <c r="C16" s="2">
        <v>1628</v>
      </c>
      <c r="D16" s="2">
        <v>50</v>
      </c>
      <c r="F16">
        <f t="shared" si="0"/>
        <v>1.2996554929816535</v>
      </c>
    </row>
    <row r="17" spans="1:6" x14ac:dyDescent="0.2">
      <c r="A17" s="1">
        <v>150</v>
      </c>
      <c r="C17" s="2">
        <v>1745</v>
      </c>
      <c r="D17" s="2">
        <v>50</v>
      </c>
      <c r="F17">
        <f t="shared" si="0"/>
        <v>1.3614654994660207</v>
      </c>
    </row>
    <row r="18" spans="1:6" x14ac:dyDescent="0.2">
      <c r="A18" s="1">
        <v>160</v>
      </c>
      <c r="C18" s="2">
        <v>1903</v>
      </c>
      <c r="D18" s="2">
        <v>50</v>
      </c>
      <c r="F18">
        <f t="shared" si="0"/>
        <v>1.4515034981314825</v>
      </c>
    </row>
    <row r="19" spans="1:6" x14ac:dyDescent="0.2">
      <c r="A19" s="1">
        <v>170</v>
      </c>
      <c r="C19" s="2">
        <v>2000</v>
      </c>
      <c r="D19" s="2">
        <v>50</v>
      </c>
      <c r="F19">
        <f t="shared" si="0"/>
        <v>1.5110851339336788</v>
      </c>
    </row>
    <row r="20" spans="1:6" x14ac:dyDescent="0.2">
      <c r="A20" s="1">
        <v>180</v>
      </c>
      <c r="C20" s="2">
        <v>2100</v>
      </c>
      <c r="D20" s="2">
        <v>50</v>
      </c>
      <c r="F20">
        <f t="shared" si="0"/>
        <v>1.5764678931965306</v>
      </c>
    </row>
    <row r="21" spans="1:6" x14ac:dyDescent="0.2">
      <c r="A21" s="1">
        <v>190</v>
      </c>
      <c r="C21" s="2">
        <v>2220</v>
      </c>
      <c r="D21" s="2">
        <v>50</v>
      </c>
      <c r="F21">
        <f t="shared" si="0"/>
        <v>1.6610252812245936</v>
      </c>
    </row>
    <row r="22" spans="1:6" x14ac:dyDescent="0.2">
      <c r="A22" s="1">
        <v>200</v>
      </c>
      <c r="C22" s="2">
        <v>2300</v>
      </c>
      <c r="D22" s="2">
        <v>50</v>
      </c>
      <c r="F22">
        <f t="shared" si="0"/>
        <v>1.7216499030410286</v>
      </c>
    </row>
    <row r="23" spans="1:6" x14ac:dyDescent="0.2">
      <c r="A23" s="1"/>
      <c r="C23" s="2"/>
    </row>
    <row r="24" spans="1:6" x14ac:dyDescent="0.2">
      <c r="A24" s="1"/>
      <c r="C24" s="2"/>
    </row>
    <row r="28" spans="1:6" x14ac:dyDescent="0.2">
      <c r="A28" s="1"/>
      <c r="C28" s="2"/>
      <c r="D28" s="2"/>
    </row>
    <row r="29" spans="1:6" x14ac:dyDescent="0.2">
      <c r="A29" s="1"/>
      <c r="C29" s="2"/>
      <c r="D2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Mineral 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 励恒</dc:creator>
  <cp:lastModifiedBy>刘 励恒</cp:lastModifiedBy>
  <dcterms:created xsi:type="dcterms:W3CDTF">2026-02-25T15:21:47Z</dcterms:created>
  <dcterms:modified xsi:type="dcterms:W3CDTF">2026-03-10T10:54:19Z</dcterms:modified>
</cp:coreProperties>
</file>