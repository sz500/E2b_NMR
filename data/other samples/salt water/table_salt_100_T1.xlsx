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other samples/salt water/"/>
    </mc:Choice>
  </mc:AlternateContent>
  <xr:revisionPtr revIDLastSave="0" documentId="13_ncr:1_{D753F925-92E0-3540-90C0-99D7F6E66BE1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2" i="1"/>
  <c r="D12" i="1" s="1"/>
  <c r="B11" i="1"/>
  <c r="D11" i="1" s="1"/>
  <c r="B10" i="1"/>
  <c r="D10" i="1" s="1"/>
  <c r="D9" i="1"/>
  <c r="D8" i="1"/>
  <c r="D7" i="1"/>
  <c r="D6" i="1"/>
  <c r="D5" i="1"/>
  <c r="D4" i="1"/>
  <c r="F1" i="1"/>
</calcChain>
</file>

<file path=xl/sharedStrings.xml><?xml version="1.0" encoding="utf-8"?>
<sst xmlns="http://schemas.openxmlformats.org/spreadsheetml/2006/main" count="8" uniqueCount="8">
  <si>
    <t>M0/mV</t>
  </si>
  <si>
    <t>delta M0/mV</t>
  </si>
  <si>
    <t>temperature=24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</si>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</sst>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1000</c:v>
                </c:pt>
                <c:pt idx="7">
                  <c:v>1200</c:v>
                </c:pt>
                <c:pt idx="8">
                  <c:v>1400</c:v>
                </c:pt>
                <c:pt idx="9">
                  <c:v>1500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0.10829580795881219</c:v>
                </c:pt>
                <c:pt idx="1">
                  <c:v>0.21122445907699941</c:v>
                </c:pt>
                <c:pt idx="2">
                  <c:v>0.29619139569239827</c:v>
                </c:pt>
                <c:pt idx="3">
                  <c:v>0.37325563467178324</c:v>
                </c:pt>
                <c:pt idx="4">
                  <c:v>0.43949070617735586</c:v>
                </c:pt>
                <c:pt idx="5">
                  <c:v>0.47394423696886645</c:v>
                </c:pt>
                <c:pt idx="6">
                  <c:v>0.88095136542884622</c:v>
                </c:pt>
                <c:pt idx="7">
                  <c:v>1.0535976566993823</c:v>
                </c:pt>
                <c:pt idx="8">
                  <c:v>1.1563633452888129</c:v>
                </c:pt>
                <c:pt idx="9">
                  <c:v>1.4399886170449794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BB-CC43-9750-D64004708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14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42" zoomScaleNormal="142" workbookViewId="0">
      <selection activeCell="F3" activeCellId="1" sqref="E1 F3"/>
    </sheetView>
  </sheetViews>
  <sheetFormatPr baseColWidth="10" defaultColWidth="11" defaultRowHeight="16" x14ac:dyDescent="0.2"/>
  <cols>
    <col min="4" max="5" width="12.6640625"/>
  </cols>
  <sheetData>
    <row r="1" spans="1:7" x14ac:dyDescent="0.2">
      <c r="A1" t="s">
        <v>0</v>
      </c>
      <c r="B1" t="s">
        <v>1</v>
      </c>
      <c r="E1" s="1" t="s">
        <v>7</v>
      </c>
      <c r="F1">
        <f>1/0.0009</f>
        <v>1111.1111111111111</v>
      </c>
    </row>
    <row r="2" spans="1:7" x14ac:dyDescent="0.2">
      <c r="A2">
        <v>2085</v>
      </c>
      <c r="B2">
        <v>200</v>
      </c>
      <c r="G2" t="s">
        <v>2</v>
      </c>
    </row>
    <row r="3" spans="1:7" x14ac:dyDescent="0.2">
      <c r="A3" t="s">
        <v>3</v>
      </c>
      <c r="B3" t="s">
        <v>4</v>
      </c>
      <c r="C3" t="s">
        <v>5</v>
      </c>
      <c r="D3" t="s">
        <v>6</v>
      </c>
    </row>
    <row r="4" spans="1:7" x14ac:dyDescent="0.2">
      <c r="A4">
        <v>100</v>
      </c>
      <c r="B4">
        <v>-1657</v>
      </c>
      <c r="C4">
        <v>200</v>
      </c>
      <c r="D4">
        <f t="shared" ref="D4:D9" si="0">-LN(((1-(B4/$A$2))/2))</f>
        <v>0.10829580795881219</v>
      </c>
    </row>
    <row r="5" spans="1:7" x14ac:dyDescent="0.2">
      <c r="A5">
        <v>200</v>
      </c>
      <c r="B5">
        <v>-1291</v>
      </c>
      <c r="C5">
        <v>200</v>
      </c>
      <c r="D5">
        <f t="shared" si="0"/>
        <v>0.21122445907699941</v>
      </c>
    </row>
    <row r="6" spans="1:7" x14ac:dyDescent="0.2">
      <c r="A6">
        <v>300</v>
      </c>
      <c r="B6">
        <v>-1016</v>
      </c>
      <c r="C6">
        <v>200</v>
      </c>
      <c r="D6">
        <f t="shared" si="0"/>
        <v>0.29619139569239827</v>
      </c>
    </row>
    <row r="7" spans="1:7" x14ac:dyDescent="0.2">
      <c r="A7">
        <v>400</v>
      </c>
      <c r="B7">
        <v>-786</v>
      </c>
      <c r="C7">
        <v>200</v>
      </c>
      <c r="D7">
        <f t="shared" si="0"/>
        <v>0.37325563467178324</v>
      </c>
    </row>
    <row r="8" spans="1:7" x14ac:dyDescent="0.2">
      <c r="A8">
        <v>500</v>
      </c>
      <c r="B8">
        <v>-602</v>
      </c>
      <c r="C8">
        <v>200</v>
      </c>
      <c r="D8">
        <f t="shared" si="0"/>
        <v>0.43949070617735586</v>
      </c>
    </row>
    <row r="9" spans="1:7" x14ac:dyDescent="0.2">
      <c r="A9">
        <v>600</v>
      </c>
      <c r="B9">
        <v>-511</v>
      </c>
      <c r="C9">
        <v>200</v>
      </c>
      <c r="D9">
        <f t="shared" si="0"/>
        <v>0.47394423696886645</v>
      </c>
    </row>
    <row r="10" spans="1:7" x14ac:dyDescent="0.2">
      <c r="A10">
        <v>1000</v>
      </c>
      <c r="B10">
        <f>(556-199)</f>
        <v>357</v>
      </c>
      <c r="C10">
        <v>200</v>
      </c>
      <c r="D10">
        <f>-LN(((1-(B10/$A$2))/2))</f>
        <v>0.88095136542884622</v>
      </c>
    </row>
    <row r="11" spans="1:7" x14ac:dyDescent="0.2">
      <c r="A11">
        <v>1200</v>
      </c>
      <c r="B11">
        <f>(822-191)</f>
        <v>631</v>
      </c>
      <c r="C11">
        <v>200</v>
      </c>
      <c r="D11">
        <f>-LN(((1-(B11/$A$2))/2))</f>
        <v>1.0535976566993823</v>
      </c>
    </row>
    <row r="12" spans="1:7" x14ac:dyDescent="0.2">
      <c r="A12">
        <v>1400</v>
      </c>
      <c r="B12">
        <f>(1020-247)</f>
        <v>773</v>
      </c>
      <c r="C12">
        <v>200</v>
      </c>
      <c r="D12">
        <f>-LN(((1-(B12/$A$2))/2))</f>
        <v>1.1563633452888129</v>
      </c>
    </row>
    <row r="13" spans="1:7" x14ac:dyDescent="0.2">
      <c r="A13">
        <v>1500</v>
      </c>
      <c r="B13">
        <v>1097</v>
      </c>
      <c r="C13">
        <v>201</v>
      </c>
      <c r="D13">
        <f>-LN(((1-(B13/$A$2))/2))</f>
        <v>1.4399886170449794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2026-03-11T10:38:15Z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