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<sst xmlns="http://schemas.openxmlformats.org/spreadsheetml/2006/main" count="7" uniqueCount="7">
  <si>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M0/mV</t>
  </si>
  <si>
    <t>delta M0/mV</t>
  </si>
  <si>
    <t>temperature=24</t>
  </si>
  <si>
    <t>t/ms</t>
  </si>
  <si>
    <t>V/mV</t>
  </si>
  <si>
    <t>delta V/mV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</si>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</sst>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Sheet1!$A$4:$A$17</c:f>
              <c:numCache>
                <c:formatCode>General</c:formatCode>
                <c:ptCount val="1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1700</c:v>
                </c:pt>
                <c:pt idx="11">
                  <c:v>1900</c:v>
                </c:pt>
                <c:pt idx="12">
                  <c:v>2200</c:v>
                </c:pt>
                <c:pt idx="13">
                  <c:v>2500</c:v>
                </c:pt>
              </c:numCache>
            </c:numRef>
          </c:xVal>
          <c:yVal>
            <c:numRef>
              <c:f>Sheet1!$D$4:$D$17</c:f>
              <c:numCache>
                <c:formatCode>General</c:formatCode>
                <c:ptCount val="14"/>
                <c:pt idx="0">
                  <c:v>0.134496516630124</c:v>
                </c:pt>
                <c:pt idx="1">
                  <c:v>0.253289542492025</c:v>
                </c:pt>
                <c:pt idx="2">
                  <c:v>0.382255875197794</c:v>
                </c:pt>
                <c:pt idx="3">
                  <c:v>0.480990715883483</c:v>
                </c:pt>
                <c:pt idx="4">
                  <c:v>0.564847373955866</c:v>
                </c:pt>
                <c:pt idx="5">
                  <c:v>0.626079631749542</c:v>
                </c:pt>
                <c:pt idx="6">
                  <c:v>0.908037590117435</c:v>
                </c:pt>
                <c:pt idx="7">
                  <c:v>1.03269350506158</c:v>
                </c:pt>
                <c:pt idx="8">
                  <c:v>1.1069341120056</c:v>
                </c:pt>
                <c:pt idx="9">
                  <c:v>1.18211401051344</c:v>
                </c:pt>
                <c:pt idx="10">
                  <c:v>1.40300784209363</c:v>
                </c:pt>
                <c:pt idx="11">
                  <c:v>1.57119751624972</c:v>
                </c:pt>
                <c:pt idx="12">
                  <c:v>1.85838734158351</c:v>
                </c:pt>
                <c:pt idx="13">
                  <c:v>2.1889714355795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4d83dff-c8ad-4fdc-8d6e-ed2135e3ce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793620</xdr:colOff>
      <xdr:row>6</xdr:row>
      <xdr:rowOff>176926</xdr:rowOff>
    </xdr:from>
    <xdr:to>
      <xdr:col>9</xdr:col>
      <xdr:colOff>814668</xdr:colOff>
      <xdr:row>15</xdr:row>
      <xdr:rowOff>162831</xdr:rowOff>
    </xdr:to>
    <xdr:graphicFrame>
      <xdr:nvGraphicFramePr>
        <xdr:cNvPr id="2" name="Chart 1"/>
        <xdr:cNvGraphicFramePr/>
      </xdr:nvGraphicFramePr>
      <xdr:xfrm>
        <a:off x="5695315" y="1357630"/>
        <a:ext cx="3653155" cy="175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zoomScale="142" zoomScaleNormal="142" workbookViewId="0">
      <selection activeCell="E2" sqref="E2"/>
    </sheetView>
  </sheetViews>
  <sheetFormatPr defaultColWidth="11" defaultRowHeight="15.5" outlineLevelCol="6"/>
  <cols>
    <col min="4" max="4" width="13.7692307692308"/>
    <col min="5" max="5" width="12.6153846153846"/>
  </cols>
  <sheetData>
    <row r="1" spans="1:7">
      <c r="A1" t="s">
        <v>0</v>
      </c>
      <c r="B1" t="s">
        <v>1</v>
      </c>
      <c r="E1">
        <f>1/0.0008</f>
        <v>1250</v>
      </c>
    </row>
    <row r="2" spans="1:7">
      <c r="A2">
        <f>(2056-427)</f>
        <v>1629</v>
      </c>
      <c r="B2">
        <v>200</v>
      </c>
      <c r="G2" t="s">
        <v>2</v>
      </c>
    </row>
    <row r="3" spans="1:7">
      <c r="A3" t="s">
        <v>3</v>
      </c>
      <c r="B3" t="s">
        <v>4</v>
      </c>
      <c r="C3" t="s">
        <v>5</v>
      </c>
      <c r="D3" t="s">
        <v>6</v>
      </c>
    </row>
    <row r="4" spans="1:7">
      <c r="A4">
        <v>100</v>
      </c>
      <c r="B4">
        <f>-(1646-427)</f>
        <v>-1219</v>
      </c>
      <c r="C4">
        <v>200</v>
      </c>
      <c r="D4">
        <f>-LN(((1-(B4/$A$2))/2))</f>
        <v>0.134496516630124</v>
      </c>
    </row>
    <row r="5" spans="1:7">
      <c r="A5">
        <v>200</v>
      </c>
      <c r="B5">
        <f>-(1327-427)</f>
        <v>-900</v>
      </c>
      <c r="C5">
        <v>200</v>
      </c>
      <c r="D5">
        <f>-LN(((1-(B5/$A$2))/2))</f>
        <v>0.253289542492025</v>
      </c>
    </row>
    <row r="6" spans="1:7">
      <c r="A6">
        <v>300</v>
      </c>
      <c r="B6">
        <f>-(1021-427)</f>
        <v>-594</v>
      </c>
      <c r="C6">
        <v>200</v>
      </c>
      <c r="D6">
        <f>-LN(((1-(B6/$A$2))/2))</f>
        <v>0.382255875197794</v>
      </c>
    </row>
    <row r="7" spans="1:7">
      <c r="A7">
        <v>400</v>
      </c>
      <c r="B7">
        <f>-(812-427)</f>
        <v>-385</v>
      </c>
      <c r="C7">
        <v>200</v>
      </c>
      <c r="D7">
        <f>-LN(((1-(B7/$A$2))/2))</f>
        <v>0.480990715883483</v>
      </c>
    </row>
    <row r="8" spans="1:7">
      <c r="A8">
        <v>500</v>
      </c>
      <c r="B8">
        <f>-(650-427)</f>
        <v>-223</v>
      </c>
      <c r="C8">
        <v>200</v>
      </c>
      <c r="D8">
        <f>-LN(((1-(B8/$A$2))/2))</f>
        <v>0.564847373955866</v>
      </c>
    </row>
    <row r="9" spans="1:7">
      <c r="A9">
        <v>600</v>
      </c>
      <c r="B9">
        <f>-(540-427)</f>
        <v>-113</v>
      </c>
      <c r="C9">
        <v>200</v>
      </c>
      <c r="D9">
        <f>-LN(((1-(B9/$A$2))/2))</f>
        <v>0.626079631749542</v>
      </c>
    </row>
    <row r="10" spans="1:7">
      <c r="A10">
        <v>1200</v>
      </c>
      <c r="B10">
        <f>(742-427)</f>
        <v>315</v>
      </c>
      <c r="C10">
        <v>200</v>
      </c>
      <c r="D10">
        <f>-LN(((1-(B10/$A$2))/2))</f>
        <v>0.908037590117435</v>
      </c>
    </row>
    <row r="11" spans="1:7">
      <c r="A11">
        <v>1300</v>
      </c>
      <c r="B11">
        <f>896-427</f>
        <v>469</v>
      </c>
      <c r="C11">
        <v>200</v>
      </c>
      <c r="D11">
        <f>-LN(((1-(B11/$A$2))/2))</f>
        <v>1.03269350506158</v>
      </c>
    </row>
    <row r="12" spans="1:7">
      <c r="A12">
        <v>1400</v>
      </c>
      <c r="B12">
        <f>979-427</f>
        <v>552</v>
      </c>
      <c r="C12">
        <v>200</v>
      </c>
      <c r="D12">
        <f>-LN(((1-(B12/$A$2))/2))</f>
        <v>1.1069341120056</v>
      </c>
    </row>
    <row r="13" spans="1:7">
      <c r="A13">
        <v>1500</v>
      </c>
      <c r="B13">
        <f>1054-424</f>
        <v>630</v>
      </c>
      <c r="C13">
        <v>200</v>
      </c>
      <c r="D13">
        <f>-LN(((1-(B13/$A$2))/2))</f>
        <v>1.18211401051344</v>
      </c>
    </row>
    <row r="14" spans="1:7">
      <c r="A14">
        <v>1700</v>
      </c>
      <c r="B14">
        <f>(1255-427)</f>
        <v>828</v>
      </c>
      <c r="C14">
        <v>200</v>
      </c>
      <c r="D14">
        <f>-LN(((1-(B14/$A$2))/2))</f>
        <v>1.40300784209363</v>
      </c>
    </row>
    <row r="15" spans="1:7">
      <c r="A15">
        <v>1900</v>
      </c>
      <c r="B15">
        <f>(1379-427)</f>
        <v>952</v>
      </c>
      <c r="C15">
        <v>200</v>
      </c>
      <c r="D15">
        <f>-LN(((1-(B15/$A$2))/2))</f>
        <v>1.57119751624972</v>
      </c>
    </row>
    <row r="16" spans="1:7">
      <c r="A16">
        <v>2200</v>
      </c>
      <c r="B16">
        <f>1548-427</f>
        <v>1121</v>
      </c>
      <c r="C16">
        <v>200</v>
      </c>
      <c r="D16">
        <f>-LN(((1-(B16/$A$2))/2))</f>
        <v>1.85838734158351</v>
      </c>
    </row>
    <row r="17" spans="1:4">
      <c r="A17">
        <v>2500</v>
      </c>
      <c r="B17">
        <f>1691-427</f>
        <v>1264</v>
      </c>
      <c r="C17">
        <v>200</v>
      </c>
      <c r="D17">
        <f>-LN(((1-(B17/$A$2))/2))</f>
        <v>2.1889714355795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Solomon</cp:lastModifiedBy>
  <dcterms:created xsi:type="dcterms:W3CDTF">2026-02-25T13:18:00Z</dcterms:created>
  <dcterms:modified xsi:type="dcterms:W3CDTF">2026-03-04T16:52:43Z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E1EC9A603648472785886616E9859AC7_12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