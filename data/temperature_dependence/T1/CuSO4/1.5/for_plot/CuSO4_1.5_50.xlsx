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62445F2F-8171-8341-ADF8-02F847465B87}" xr6:coauthVersionLast="47" xr6:coauthVersionMax="47" xr10:uidLastSave="{00000000-0000-0000-0000-000000000000}"/>
  <bookViews>
    <workbookView xWindow="0" yWindow="0" windowWidth="14400" windowHeight="18000" xr2:uid="{9C9E1021-3647-314D-BCD8-EA354792559E}"/>
  </bookViews>
  <sheets>
    <sheet name="CuSO4_1.5_T=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4" i="1"/>
</calcChain>
</file>

<file path=xl/sharedStrings.xml><?xml version="1.0" encoding="utf-8"?>
<sst xmlns="http://schemas.openxmlformats.org/spreadsheetml/2006/main" count="8" uniqueCount="8">
  <si>
    <t>M0 （mV)</t>
  </si>
  <si>
    <t>repetition time</t>
  </si>
  <si>
    <t>0.1s</t>
  </si>
  <si>
    <t>delta M0</t>
  </si>
  <si>
    <t>y</t>
  </si>
  <si>
    <t>t/ms</t>
  </si>
  <si>
    <t>V/mV</t>
  </si>
  <si>
    <t>delta V/mV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</si>
</sst>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36600271141939E-2"/>
          <c:y val="8.4030590112262715E-2"/>
          <c:w val="0.8394753433417097"/>
          <c:h val="0.82081386438571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'CuSO4_1.5_T=50'!$A$5:$A$14</c:f>
              <c:numCache>
                <c:formatCode>0.00_ 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</c:numCache>
            </c:numRef>
          </c:xVal>
          <c:yVal>
            <c:numRef>
              <c:f>'CuSO4_1.5_T=50'!$D$5:$D$14</c:f>
              <c:numCache>
                <c:formatCode>General</c:formatCode>
                <c:ptCount val="10"/>
                <c:pt idx="0">
                  <c:v>0.1075273637429167</c:v>
                </c:pt>
                <c:pt idx="1">
                  <c:v>0.15112495891072139</c:v>
                </c:pt>
                <c:pt idx="2">
                  <c:v>0.19665383056630123</c:v>
                </c:pt>
                <c:pt idx="3">
                  <c:v>0.24382202587454307</c:v>
                </c:pt>
                <c:pt idx="4">
                  <c:v>0.53397335732208506</c:v>
                </c:pt>
                <c:pt idx="5">
                  <c:v>1.0192834078504962</c:v>
                </c:pt>
                <c:pt idx="6">
                  <c:v>1.6246268947096623</c:v>
                </c:pt>
                <c:pt idx="7">
                  <c:v>2.0906356884229886</c:v>
                </c:pt>
                <c:pt idx="8">
                  <c:v>2.7947243099604808</c:v>
                </c:pt>
                <c:pt idx="9">
                  <c:v>3.2333586755385717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3-E949-A2A8-5562321A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315036</xdr:colOff>
      <xdr:row>16</xdr:row>
      <xdr:rowOff>118534</xdr:rowOff>
    </xdr:from>
    <xdr:to>
      <xdr:col>4</xdr:col>
      <xdr:colOff>463944</xdr:colOff>
      <xdr:row>28</xdr:row>
      <xdr:rowOff>98301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9835D-7E40-A340-AE8D-955F85BF7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E680-5FA7-0F43-A6B2-155FF3743D2E}">
  <dimension ref="A1:E21"/>
  <sheetViews>
    <sheetView tabSelected="1" zoomScale="119" workbookViewId="0">
      <selection activeCell="C5" sqref="C5"/>
    </sheetView>
  </sheetViews>
  <sheetFormatPr baseColWidth="10" defaultRowHeight="16" x14ac:dyDescent="0.2"/>
  <cols>
    <col min="4" max="4" width="18" customWidth="1"/>
  </cols>
  <sheetData>
    <row r="1" spans="1:5" x14ac:dyDescent="0.2">
      <c r="A1" s="1" t="s">
        <v>0</v>
      </c>
      <c r="B1" s="2">
        <v>10780</v>
      </c>
      <c r="D1" t="s">
        <v>1</v>
      </c>
      <c r="E1" t="s">
        <v>2</v>
      </c>
    </row>
    <row r="2" spans="1:5" x14ac:dyDescent="0.2">
      <c r="A2" s="1" t="s">
        <v>3</v>
      </c>
      <c r="B2" s="2">
        <v>40</v>
      </c>
    </row>
    <row r="3" spans="1:5" x14ac:dyDescent="0.2">
      <c r="A3" t="s">
        <v>5</v>
      </c>
      <c r="B3" t="s">
        <v>6</v>
      </c>
      <c r="C3" t="s">
        <v>7</v>
      </c>
      <c r="D3" t="s">
        <v>4</v>
      </c>
    </row>
    <row r="4" spans="1:5" x14ac:dyDescent="0.2">
      <c r="A4" s="1">
        <v>1</v>
      </c>
      <c r="B4">
        <v>-9285</v>
      </c>
      <c r="C4" s="2">
        <v>100</v>
      </c>
      <c r="D4">
        <f>-LN(((1-(B4/$B$1))/2))</f>
        <v>7.1862742321916265E-2</v>
      </c>
    </row>
    <row r="5" spans="1:5" x14ac:dyDescent="0.2">
      <c r="A5" s="1">
        <v>3</v>
      </c>
      <c r="B5">
        <v>-8582</v>
      </c>
      <c r="C5" s="2">
        <v>100</v>
      </c>
      <c r="D5">
        <f t="shared" ref="D5:D14" si="0">-LN(((1-(B5/$B$1))/2))</f>
        <v>0.1075273637429167</v>
      </c>
    </row>
    <row r="6" spans="1:5" x14ac:dyDescent="0.2">
      <c r="A6" s="1">
        <v>5</v>
      </c>
      <c r="B6">
        <v>-7756</v>
      </c>
      <c r="C6" s="2">
        <v>100</v>
      </c>
      <c r="D6">
        <f t="shared" si="0"/>
        <v>0.15112495891072139</v>
      </c>
    </row>
    <row r="7" spans="1:5" x14ac:dyDescent="0.2">
      <c r="A7" s="1">
        <v>7</v>
      </c>
      <c r="B7">
        <v>-6931</v>
      </c>
      <c r="C7" s="2">
        <v>100</v>
      </c>
      <c r="D7">
        <f t="shared" si="0"/>
        <v>0.19665383056630123</v>
      </c>
    </row>
    <row r="8" spans="1:5" x14ac:dyDescent="0.2">
      <c r="A8" s="1">
        <v>9</v>
      </c>
      <c r="B8">
        <v>-6115</v>
      </c>
      <c r="C8" s="2">
        <v>100</v>
      </c>
      <c r="D8">
        <f t="shared" si="0"/>
        <v>0.24382202587454307</v>
      </c>
    </row>
    <row r="9" spans="1:5" x14ac:dyDescent="0.2">
      <c r="A9" s="1">
        <v>20</v>
      </c>
      <c r="B9">
        <v>-1860</v>
      </c>
      <c r="C9" s="2">
        <v>100</v>
      </c>
      <c r="D9">
        <f t="shared" si="0"/>
        <v>0.53397335732208506</v>
      </c>
    </row>
    <row r="10" spans="1:5" x14ac:dyDescent="0.2">
      <c r="A10" s="1">
        <v>40</v>
      </c>
      <c r="B10">
        <v>3000</v>
      </c>
      <c r="C10" s="2">
        <v>100</v>
      </c>
      <c r="D10">
        <f t="shared" si="0"/>
        <v>1.0192834078504962</v>
      </c>
    </row>
    <row r="11" spans="1:5" x14ac:dyDescent="0.2">
      <c r="A11" s="1">
        <v>60</v>
      </c>
      <c r="B11">
        <v>6533</v>
      </c>
      <c r="C11" s="2">
        <v>100</v>
      </c>
      <c r="D11">
        <f t="shared" si="0"/>
        <v>1.6246268947096623</v>
      </c>
    </row>
    <row r="12" spans="1:5" x14ac:dyDescent="0.2">
      <c r="A12" s="1">
        <v>80</v>
      </c>
      <c r="B12">
        <v>8115</v>
      </c>
      <c r="C12" s="2">
        <v>100</v>
      </c>
      <c r="D12">
        <f t="shared" si="0"/>
        <v>2.0906356884229886</v>
      </c>
    </row>
    <row r="13" spans="1:5" x14ac:dyDescent="0.2">
      <c r="A13" s="1">
        <v>100</v>
      </c>
      <c r="B13">
        <v>9462</v>
      </c>
      <c r="C13" s="2">
        <v>100</v>
      </c>
      <c r="D13">
        <f t="shared" si="0"/>
        <v>2.7947243099604808</v>
      </c>
    </row>
    <row r="14" spans="1:5" x14ac:dyDescent="0.2">
      <c r="A14" s="1">
        <v>120</v>
      </c>
      <c r="B14">
        <v>9930</v>
      </c>
      <c r="C14" s="2">
        <v>100</v>
      </c>
      <c r="D14">
        <f t="shared" si="0"/>
        <v>3.2333586755385717</v>
      </c>
    </row>
    <row r="16" spans="1:5" x14ac:dyDescent="0.2">
      <c r="A16" s="1"/>
      <c r="C16" s="2"/>
    </row>
    <row r="20" spans="1:4" x14ac:dyDescent="0.2">
      <c r="A20" s="1"/>
      <c r="C20" s="2"/>
      <c r="D20" s="2"/>
    </row>
    <row r="21" spans="1:4" x14ac:dyDescent="0.2">
      <c r="A21" s="1"/>
      <c r="C21" s="2"/>
      <c r="D21" s="2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CuSO4_1.5_T=50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2026-02-26T13:40:58Z</dcterms:created>
  <dcterms:modified xsi:type="dcterms:W3CDTF">2026-02-26T17:40:58Z</dcterms:modified>
</cp:coreProperties>
</file>