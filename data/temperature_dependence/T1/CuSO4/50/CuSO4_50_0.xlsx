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928A7069-3752-4946-B9B0-F36BE57224BB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<sst xmlns="http://schemas.openxmlformats.org/spreadsheetml/2006/main" count="7" uniqueCount="7">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</sst>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2.5</c:v>
                </c:pt>
                <c:pt idx="7">
                  <c:v>3</c:v>
                </c:pt>
                <c:pt idx="8">
                  <c:v>3.5</c:v>
                </c:pt>
                <c:pt idx="9">
                  <c:v>4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0.10260582160098999</c:v>
                </c:pt>
                <c:pt idx="1">
                  <c:v>0.35520327332727603</c:v>
                </c:pt>
                <c:pt idx="2">
                  <c:v>0.68039483883093799</c:v>
                </c:pt>
                <c:pt idx="3">
                  <c:v>1.2425064683281799</c:v>
                </c:pt>
                <c:pt idx="4">
                  <c:v>1.9204634833941501</c:v>
                </c:pt>
                <c:pt idx="5">
                  <c:v>2.3277248916081001</c:v>
                </c:pt>
                <c:pt idx="6">
                  <c:v>2.86441245573431</c:v>
                </c:pt>
                <c:pt idx="7">
                  <c:v>2.9450703587517602</c:v>
                </c:pt>
                <c:pt idx="8">
                  <c:v>3.4525681924250802</c:v>
                </c:pt>
                <c:pt idx="9">
                  <c:v>4.12272585476033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3-0F4E-90F3-FCC0514C3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42" zoomScaleNormal="142" workbookViewId="0">
      <selection activeCell="E1" sqref="E1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1/0.9848</f>
        <v>1.0154346060113699</v>
      </c>
    </row>
    <row r="2" spans="1:6" x14ac:dyDescent="0.2">
      <c r="A2">
        <f>4993-240</f>
        <v>4753</v>
      </c>
      <c r="B2">
        <v>400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0.1</v>
      </c>
      <c r="B4">
        <f>-(4066-240)</f>
        <v>-3826</v>
      </c>
      <c r="C4">
        <v>400</v>
      </c>
      <c r="D4">
        <f t="shared" ref="D4:D13" si="0">-LN(((1-(B4/$A$2))/2))</f>
        <v>0.10260582160098999</v>
      </c>
    </row>
    <row r="5" spans="1:6" x14ac:dyDescent="0.2">
      <c r="A5">
        <v>0.3</v>
      </c>
      <c r="B5">
        <f>-(2133-222)</f>
        <v>-1911</v>
      </c>
      <c r="C5">
        <v>400</v>
      </c>
      <c r="D5">
        <f t="shared" si="0"/>
        <v>0.35520327332727603</v>
      </c>
    </row>
    <row r="6" spans="1:6" x14ac:dyDescent="0.2">
      <c r="A6">
        <v>0.5</v>
      </c>
      <c r="B6">
        <f>-(283-222)</f>
        <v>-61</v>
      </c>
      <c r="C6">
        <v>400</v>
      </c>
      <c r="D6">
        <f t="shared" si="0"/>
        <v>0.68039483883093799</v>
      </c>
    </row>
    <row r="7" spans="1:6" x14ac:dyDescent="0.2">
      <c r="A7">
        <v>1</v>
      </c>
      <c r="B7">
        <f>(2219-210)</f>
        <v>2009</v>
      </c>
      <c r="C7">
        <v>400</v>
      </c>
      <c r="D7">
        <f t="shared" si="0"/>
        <v>1.2425064683281799</v>
      </c>
    </row>
    <row r="8" spans="1:6" x14ac:dyDescent="0.2">
      <c r="A8">
        <v>1.5</v>
      </c>
      <c r="B8">
        <f>(3514-154)</f>
        <v>3360</v>
      </c>
      <c r="C8">
        <v>400</v>
      </c>
      <c r="D8">
        <f t="shared" si="0"/>
        <v>1.9204634833941501</v>
      </c>
    </row>
    <row r="9" spans="1:6" x14ac:dyDescent="0.2">
      <c r="A9">
        <v>2</v>
      </c>
      <c r="B9">
        <f>4066-240</f>
        <v>3826</v>
      </c>
      <c r="C9">
        <v>400</v>
      </c>
      <c r="D9">
        <f t="shared" si="0"/>
        <v>2.3277248916081001</v>
      </c>
    </row>
    <row r="10" spans="1:6" x14ac:dyDescent="0.2">
      <c r="A10">
        <v>2.5</v>
      </c>
      <c r="B10">
        <f>4365-154</f>
        <v>4211</v>
      </c>
      <c r="C10">
        <v>400</v>
      </c>
      <c r="D10">
        <f t="shared" si="0"/>
        <v>2.86441245573431</v>
      </c>
    </row>
    <row r="11" spans="1:6" x14ac:dyDescent="0.2">
      <c r="A11">
        <v>3</v>
      </c>
      <c r="B11">
        <f>(4407-154)</f>
        <v>4253</v>
      </c>
      <c r="C11">
        <v>400</v>
      </c>
      <c r="D11">
        <f t="shared" si="0"/>
        <v>2.9450703587517602</v>
      </c>
    </row>
    <row r="12" spans="1:6" x14ac:dyDescent="0.2">
      <c r="A12">
        <v>3.5</v>
      </c>
      <c r="B12">
        <f>4635-183</f>
        <v>4452</v>
      </c>
      <c r="C12">
        <v>400</v>
      </c>
      <c r="D12">
        <f t="shared" si="0"/>
        <v>3.4525681924250802</v>
      </c>
    </row>
    <row r="13" spans="1:6" x14ac:dyDescent="0.2">
      <c r="A13">
        <v>4</v>
      </c>
      <c r="B13">
        <f>(4753-154)</f>
        <v>4599</v>
      </c>
      <c r="C13">
        <v>400</v>
      </c>
      <c r="D13">
        <f t="shared" si="0"/>
        <v>4.12272585476033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