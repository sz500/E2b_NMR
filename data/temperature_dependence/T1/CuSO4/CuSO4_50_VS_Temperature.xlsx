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79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<sst xmlns="http://schemas.openxmlformats.org/spreadsheetml/2006/main" count="2" uniqueCount="2">
  <si>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T</t>
  </si>
  <si>
    <t>T1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</si>
</sst>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/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lang="zh-CN"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</c:trendlineLbl>
          </c:trendline>
          <c:xVal>
            <c:numRef>
              <c:f>Sheet1!$A$2:$A$8</c:f>
              <c:numCache>
                <c:formatCode>General</c:formatCode>
                <c:ptCount val="7"/>
                <c:pt idx="0">
                  <c:v>0</c:v>
                </c:pt>
                <c:pt idx="1">
                  <c:v>22</c:v>
                </c:pt>
                <c:pt idx="2">
                  <c:v>30</c:v>
                </c:pt>
                <c:pt idx="3">
                  <c:v>35</c:v>
                </c:pt>
                <c:pt idx="4">
                  <c:v>40</c:v>
                </c:pt>
                <c:pt idx="5">
                  <c:v>45</c:v>
                </c:pt>
                <c:pt idx="6">
                  <c:v>50</c:v>
                </c:pt>
              </c:numCache>
            </c:numRef>
          </c:xVal>
          <c:yVal>
            <c:numRef>
              <c:f>Sheet1!$B$2:$B$8</c:f>
              <c:numCache>
                <c:formatCode>General</c:formatCode>
                <c:ptCount val="7"/>
                <c:pt idx="0">
                  <c:v>1.01543460601137</c:v>
                </c:pt>
                <c:pt idx="1">
                  <c:v>1.43657520471197</c:v>
                </c:pt>
                <c:pt idx="2">
                  <c:v>1.48434021077631</c:v>
                </c:pt>
                <c:pt idx="3">
                  <c:v>1.70735871606625</c:v>
                </c:pt>
                <c:pt idx="4">
                  <c:v>1.81488203266788</c:v>
                </c:pt>
                <c:pt idx="5">
                  <c:v>2.01045436268597</c:v>
                </c:pt>
                <c:pt idx="6">
                  <c:v>2.11193241816262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46385952"/>
        <c:axId val="1147070832"/>
      </c:scatterChart>
      <c:valAx>
        <c:axId val="11463859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temperarure</a:t>
                </a:r>
                <a:endParaRPr lang="en-US" altLang="zh-CN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147070832"/>
        <c:crosses val="autoZero"/>
        <c:crossBetween val="midCat"/>
      </c:valAx>
      <c:valAx>
        <c:axId val="1147070832"/>
        <c:scaling>
          <c:orientation val="minMax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T1</a:t>
                </a:r>
                <a:endParaRPr lang="en-US" altLang="zh-CN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1463859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c4d83dff-c8ad-4fdc-8d6e-ed2135e3cea0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484505</xdr:colOff>
      <xdr:row>3</xdr:row>
      <xdr:rowOff>55880</xdr:rowOff>
    </xdr:from>
    <xdr:to>
      <xdr:col>7</xdr:col>
      <xdr:colOff>372110</xdr:colOff>
      <xdr:row>12</xdr:row>
      <xdr:rowOff>49530</xdr:rowOff>
    </xdr:to>
    <xdr:graphicFrame>
      <xdr:nvGraphicFramePr>
        <xdr:cNvPr id="2" name="Chart 1"/>
        <xdr:cNvGraphicFramePr/>
      </xdr:nvGraphicFramePr>
      <xdr:xfrm>
        <a:off x="3208655" y="646430"/>
        <a:ext cx="3653155" cy="17653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8"/>
  <sheetViews>
    <sheetView tabSelected="1" zoomScale="142" zoomScaleNormal="142" workbookViewId="0">
      <selection activeCell="D1" sqref="D1"/>
    </sheetView>
  </sheetViews>
  <sheetFormatPr defaultColWidth="11" defaultRowHeight="15.5" outlineLevelRow="7" outlineLevelCol="1"/>
  <cols>
    <col min="4" max="4" width="12.6153846153846"/>
  </cols>
  <sheetData>
    <row r="1" spans="1:2">
      <c r="A1" t="s">
        <v>0</v>
      </c>
      <c r="B1" t="s">
        <v>1</v>
      </c>
    </row>
    <row r="2" spans="1:2">
      <c r="A2">
        <v>0</v>
      </c>
      <c r="B2">
        <f>1/0.9848</f>
        <v>1.01543460601137</v>
      </c>
    </row>
    <row r="3" spans="1:2">
      <c r="A3">
        <v>22</v>
      </c>
      <c r="B3">
        <f>1/0.6961</f>
        <v>1.43657520471197</v>
      </c>
    </row>
    <row r="4" spans="1:2">
      <c r="A4">
        <v>30</v>
      </c>
      <c r="B4">
        <f>1/0.6737</f>
        <v>1.48434021077631</v>
      </c>
    </row>
    <row r="5" spans="1:2">
      <c r="A5">
        <v>35</v>
      </c>
      <c r="B5">
        <f>1/0.5857</f>
        <v>1.70735871606625</v>
      </c>
    </row>
    <row r="6" spans="1:2">
      <c r="A6">
        <v>40</v>
      </c>
      <c r="B6">
        <f>1/0.551</f>
        <v>1.81488203266788</v>
      </c>
    </row>
    <row r="7" spans="1:2">
      <c r="A7">
        <v>45</v>
      </c>
      <c r="B7">
        <f>1/0.4974</f>
        <v>2.01045436268597</v>
      </c>
    </row>
    <row r="8" spans="1:2">
      <c r="A8">
        <v>50</v>
      </c>
      <c r="B8">
        <f>1/0.4735</f>
        <v>2.11193241816262</v>
      </c>
    </row>
  </sheetData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刘 励恒</dc:creator>
  <cp:lastModifiedBy>Solomon</cp:lastModifiedBy>
  <dcterms:created xsi:type="dcterms:W3CDTF">2026-02-25T13:18:00Z</dcterms:created>
  <dcterms:modified xsi:type="dcterms:W3CDTF">2026-02-27T21:40:51Z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E1EC9A603648472785886616E9859AC7_12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