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Glycerol/100/for_plot/"/>
    </mc:Choice>
  </mc:AlternateContent>
  <xr:revisionPtr revIDLastSave="0" documentId="13_ncr:1_{127126AE-A4EB-F044-A1ED-F683C849E641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4" i="1"/>
  <c r="D5" i="1"/>
  <c r="B4" i="1"/>
  <c r="A2" i="1"/>
  <c r="D8" i="1" s="1"/>
  <c r="D13" i="1"/>
  <c r="D10" i="1"/>
  <c r="D6" i="1"/>
  <c r="D12" i="1" l="1"/>
  <c r="D9" i="1"/>
  <c r="D11" i="1"/>
  <c r="D7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<sst xmlns="http://schemas.openxmlformats.org/spreadsheetml/2006/main" count="7" uniqueCount="7">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</sst>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0.22340194621352272</c:v>
                </c:pt>
                <c:pt idx="1">
                  <c:v>0.48217815294042116</c:v>
                </c:pt>
                <c:pt idx="2">
                  <c:v>0.84942965629141298</c:v>
                </c:pt>
                <c:pt idx="3">
                  <c:v>1.1128049765190324</c:v>
                </c:pt>
                <c:pt idx="4">
                  <c:v>1.1575296595352509</c:v>
                </c:pt>
                <c:pt idx="5">
                  <c:v>1.3393132444700908</c:v>
                </c:pt>
                <c:pt idx="6">
                  <c:v>1.4709512301886074</c:v>
                </c:pt>
                <c:pt idx="7">
                  <c:v>1.6140520738292807</c:v>
                </c:pt>
                <c:pt idx="8">
                  <c:v>1.9535491733297308</c:v>
                </c:pt>
                <c:pt idx="9">
                  <c:v>1.9810954229231188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15</xdr:row>
      <xdr:rowOff>85789</xdr:rowOff>
    </xdr:from>
    <xdr:to>
      <xdr:col>5</xdr:col>
      <xdr:colOff>163870</xdr:colOff>
      <xdr:row>28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17" workbookViewId="0">
      <selection activeCell="G5" sqref="G5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1/0.01735</f>
        <v>57.636887608069159</v>
      </c>
    </row>
    <row r="2" spans="1:6" x14ac:dyDescent="0.2">
      <c r="A2">
        <f>5322</f>
        <v>5322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10</v>
      </c>
      <c r="B4">
        <f>-3191</f>
        <v>-3191</v>
      </c>
      <c r="C4">
        <v>100</v>
      </c>
      <c r="D4">
        <f>-LN(((1-(B4/$A$2))/2))</f>
        <v>0.22340194621352272</v>
      </c>
    </row>
    <row r="5" spans="1:6" x14ac:dyDescent="0.2">
      <c r="A5">
        <v>20</v>
      </c>
      <c r="B5">
        <v>-1250</v>
      </c>
      <c r="C5">
        <v>100</v>
      </c>
      <c r="D5">
        <f>-LN(((1-(B5/$A$2))/2))</f>
        <v>0.48217815294042116</v>
      </c>
    </row>
    <row r="6" spans="1:6" x14ac:dyDescent="0.2">
      <c r="A6">
        <v>40</v>
      </c>
      <c r="B6">
        <v>770</v>
      </c>
      <c r="C6">
        <v>100</v>
      </c>
      <c r="D6">
        <f t="shared" ref="D6:D9" si="0">-LN(((1-(B6/$A$2))/2))</f>
        <v>0.84942965629141298</v>
      </c>
    </row>
    <row r="7" spans="1:6" x14ac:dyDescent="0.2">
      <c r="A7">
        <v>50</v>
      </c>
      <c r="B7">
        <v>1824</v>
      </c>
      <c r="C7">
        <v>100</v>
      </c>
      <c r="D7">
        <f>-LN(((1-(B7/$A$2))/2))</f>
        <v>1.1128049765190324</v>
      </c>
    </row>
    <row r="8" spans="1:6" x14ac:dyDescent="0.2">
      <c r="A8">
        <v>60</v>
      </c>
      <c r="B8">
        <v>1977</v>
      </c>
      <c r="C8">
        <v>100</v>
      </c>
      <c r="D8">
        <f>-LN(((1-(B8/$A$2))/2))</f>
        <v>1.1575296595352509</v>
      </c>
    </row>
    <row r="9" spans="1:6" x14ac:dyDescent="0.2">
      <c r="A9">
        <v>70</v>
      </c>
      <c r="B9">
        <v>2533</v>
      </c>
      <c r="C9">
        <v>100</v>
      </c>
      <c r="D9">
        <f t="shared" si="0"/>
        <v>1.3393132444700908</v>
      </c>
    </row>
    <row r="10" spans="1:6" x14ac:dyDescent="0.2">
      <c r="A10">
        <v>80</v>
      </c>
      <c r="B10">
        <v>2877</v>
      </c>
      <c r="C10">
        <v>100</v>
      </c>
      <c r="D10">
        <f>-LN(((1-(B10/$A$2))/2))</f>
        <v>1.4709512301886074</v>
      </c>
    </row>
    <row r="11" spans="1:6" x14ac:dyDescent="0.2">
      <c r="A11">
        <v>90</v>
      </c>
      <c r="B11">
        <v>3203</v>
      </c>
      <c r="C11">
        <v>100</v>
      </c>
      <c r="D11">
        <f>-LN(((1-(B11/$A$2))/2))</f>
        <v>1.6140520738292807</v>
      </c>
    </row>
    <row r="12" spans="1:6" x14ac:dyDescent="0.2">
      <c r="A12">
        <v>100</v>
      </c>
      <c r="B12">
        <v>3813</v>
      </c>
      <c r="C12">
        <v>100</v>
      </c>
      <c r="D12">
        <f>-LN(((1-(B12/$A$2))/2))</f>
        <v>1.9535491733297308</v>
      </c>
    </row>
    <row r="13" spans="1:6" x14ac:dyDescent="0.2">
      <c r="A13">
        <v>110</v>
      </c>
      <c r="B13">
        <v>3854</v>
      </c>
      <c r="C13">
        <v>100</v>
      </c>
      <c r="D13">
        <f>-LN(((1-(B13/$A$2))/2))</f>
        <v>1.9810954229231188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2026-03-01T18:39:59Z</dcterms:modified>
</cp:coreProperties>
</file>