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Glycerol/100/for_plot/"/>
    </mc:Choice>
  </mc:AlternateContent>
  <xr:revisionPtr revIDLastSave="0" documentId="13_ncr:1_{BECB33E5-0130-974E-B448-308BE3192B46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A2" i="1"/>
  <c r="D13" i="1" s="1"/>
  <c r="B13" i="1"/>
  <c r="B12" i="1"/>
  <c r="D12" i="1" s="1"/>
  <c r="B7" i="1"/>
  <c r="D7" i="1" s="1"/>
  <c r="B10" i="1"/>
  <c r="B9" i="1"/>
  <c r="D9" i="1" s="1"/>
  <c r="B8" i="1"/>
  <c r="B11" i="1"/>
  <c r="B4" i="1"/>
  <c r="B6" i="1"/>
  <c r="B5" i="1"/>
  <c r="D11" i="1" l="1"/>
  <c r="D8" i="1"/>
  <c r="D4" i="1"/>
  <c r="D10" i="1"/>
  <c r="D6" i="1"/>
  <c r="D5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<sst xmlns="http://schemas.openxmlformats.org/spreadsheetml/2006/main" count="7" uniqueCount="7">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</sst>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Sheet1!$A$4:$A$12</c:f>
              <c:numCache>
                <c:formatCode>General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</c:numCache>
            </c:numRef>
          </c:xVal>
          <c:yVal>
            <c:numRef>
              <c:f>Sheet1!$D$4:$D$12</c:f>
              <c:numCache>
                <c:formatCode>General</c:formatCode>
                <c:ptCount val="9"/>
                <c:pt idx="0">
                  <c:v>0.31667567800427621</c:v>
                </c:pt>
                <c:pt idx="1">
                  <c:v>0.88498462220242924</c:v>
                </c:pt>
                <c:pt idx="2">
                  <c:v>1.4999078285395491</c:v>
                </c:pt>
                <c:pt idx="3">
                  <c:v>2.0583107600497628</c:v>
                </c:pt>
                <c:pt idx="4">
                  <c:v>2.5792887552797712</c:v>
                </c:pt>
                <c:pt idx="5">
                  <c:v>2.9625531534077427</c:v>
                </c:pt>
                <c:pt idx="6">
                  <c:v>3.6677486724838619</c:v>
                </c:pt>
                <c:pt idx="7">
                  <c:v>4.391667511710561</c:v>
                </c:pt>
                <c:pt idx="8">
                  <c:v>5.82925516721801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142822</xdr:colOff>
      <xdr:row>14</xdr:row>
      <xdr:rowOff>85789</xdr:rowOff>
    </xdr:from>
    <xdr:to>
      <xdr:col>5</xdr:col>
      <xdr:colOff>163870</xdr:colOff>
      <xdr:row>27</xdr:row>
      <xdr:rowOff>71694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3"/>
  <sheetViews>
    <sheetView tabSelected="1" zoomScale="139" workbookViewId="0">
      <selection activeCell="E8" sqref="E8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1/0.1094</f>
        <v>9.1407678244972583</v>
      </c>
    </row>
    <row r="2" spans="1:6" x14ac:dyDescent="0.2">
      <c r="A2">
        <f>4188-957</f>
        <v>3231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5</v>
      </c>
      <c r="B4">
        <f>-(1744-267)</f>
        <v>-1477</v>
      </c>
      <c r="C4">
        <v>100</v>
      </c>
      <c r="D4">
        <f>-LN(((1-(B4/$A$2))/2))</f>
        <v>0.31667567800427621</v>
      </c>
    </row>
    <row r="5" spans="1:6" x14ac:dyDescent="0.2">
      <c r="A5">
        <v>10</v>
      </c>
      <c r="B5">
        <f>910-346</f>
        <v>564</v>
      </c>
      <c r="C5">
        <v>100</v>
      </c>
      <c r="D5">
        <f>-LN(((1-(B5/$A$2))/2))</f>
        <v>0.88498462220242924</v>
      </c>
    </row>
    <row r="6" spans="1:6" x14ac:dyDescent="0.2">
      <c r="A6">
        <v>20</v>
      </c>
      <c r="B6">
        <f>(2004-215)</f>
        <v>1789</v>
      </c>
      <c r="C6">
        <v>100</v>
      </c>
      <c r="D6">
        <f>-LN(((1-(B6/$A$2))/2))</f>
        <v>1.4999078285395491</v>
      </c>
    </row>
    <row r="7" spans="1:6" x14ac:dyDescent="0.2">
      <c r="A7">
        <v>25</v>
      </c>
      <c r="B7">
        <f>2693-287</f>
        <v>2406</v>
      </c>
      <c r="C7">
        <v>100</v>
      </c>
      <c r="D7">
        <f>-LN(((1-(B7/$A$2))/2))</f>
        <v>2.0583107600497628</v>
      </c>
    </row>
    <row r="8" spans="1:6" x14ac:dyDescent="0.2">
      <c r="A8">
        <v>30</v>
      </c>
      <c r="B8">
        <f>3095-354</f>
        <v>2741</v>
      </c>
      <c r="C8">
        <v>100</v>
      </c>
      <c r="D8">
        <f t="shared" ref="D8:D11" si="0">-LN(((1-(B8/$A$2))/2))</f>
        <v>2.5792887552797712</v>
      </c>
    </row>
    <row r="9" spans="1:6" x14ac:dyDescent="0.2">
      <c r="A9">
        <v>35</v>
      </c>
      <c r="B9">
        <f>3393-496</f>
        <v>2897</v>
      </c>
      <c r="C9">
        <v>100</v>
      </c>
      <c r="D9">
        <f t="shared" si="0"/>
        <v>2.9625531534077427</v>
      </c>
    </row>
    <row r="10" spans="1:6" x14ac:dyDescent="0.2">
      <c r="A10">
        <v>40</v>
      </c>
      <c r="B10">
        <f>3501-435</f>
        <v>3066</v>
      </c>
      <c r="C10">
        <v>100</v>
      </c>
      <c r="D10">
        <f t="shared" si="0"/>
        <v>3.6677486724838619</v>
      </c>
    </row>
    <row r="11" spans="1:6" x14ac:dyDescent="0.2">
      <c r="A11">
        <v>45</v>
      </c>
      <c r="B11">
        <f>3615-464</f>
        <v>3151</v>
      </c>
      <c r="C11">
        <v>100</v>
      </c>
      <c r="D11">
        <f t="shared" si="0"/>
        <v>4.391667511710561</v>
      </c>
    </row>
    <row r="12" spans="1:6" x14ac:dyDescent="0.2">
      <c r="A12">
        <v>50</v>
      </c>
      <c r="B12">
        <f>3770-558</f>
        <v>3212</v>
      </c>
      <c r="C12">
        <v>100</v>
      </c>
      <c r="D12">
        <f>-LN(((1-(B12/$A$2))/2))</f>
        <v>5.82925516721801</v>
      </c>
    </row>
    <row r="13" spans="1:6" x14ac:dyDescent="0.2">
      <c r="A13">
        <v>55</v>
      </c>
      <c r="B13">
        <f>3799-582</f>
        <v>3217</v>
      </c>
      <c r="C13">
        <v>100</v>
      </c>
      <c r="D13">
        <f>-LN(((1-(B13/$A$2))/2))</f>
        <v>6.134636816769194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2026-03-01T18:38:31Z</dcterms:modified>
</cp:coreProperties>
</file>