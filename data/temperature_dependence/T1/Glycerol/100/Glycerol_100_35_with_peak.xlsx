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temperature/"/>
    </mc:Choice>
  </mc:AlternateContent>
  <xr:revisionPtr revIDLastSave="0" documentId="13_ncr:1_{FD857D56-609C-6A47-AA71-44368D5A4E20}" xr6:coauthVersionLast="47" xr6:coauthVersionMax="47" xr10:uidLastSave="{00000000-0000-0000-0000-000000000000}"/>
  <bookViews>
    <workbookView xWindow="14380" yWindow="2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G1" i="1"/>
  <c r="D5" i="1"/>
  <c r="B13" i="1"/>
  <c r="B11" i="1"/>
  <c r="D12" i="1"/>
  <c r="B10" i="1"/>
  <c r="D4" i="1"/>
  <c r="B9" i="1"/>
  <c r="B8" i="1"/>
  <c r="D8" i="1" s="1"/>
  <c r="B5" i="1"/>
  <c r="B6" i="1"/>
  <c r="B7" i="1"/>
  <c r="B12" i="1"/>
  <c r="A2" i="1"/>
  <c r="F1" i="1"/>
  <c r="D7" i="1"/>
  <c r="D6" i="1"/>
  <c r="D11" i="1" l="1"/>
  <c r="D13" i="1"/>
  <c r="D10" i="1"/>
  <c r="D9" i="1"/>
</calcChain>
</file>

<file path=xl/sharedStrings.xml><?xml version="1.0" encoding="utf-8"?>
<sst xmlns="http://schemas.openxmlformats.org/spreadsheetml/2006/main" count="8" uniqueCount="8">
  <si>
    <t>delta V/mV</t>
  </si>
  <si>
    <t>V/mV</t>
  </si>
  <si>
    <t>t/ms</t>
  </si>
  <si>
    <t>y</t>
  </si>
  <si>
    <t>M0/mV</t>
  </si>
  <si>
    <t>delta M0/mV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</si>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</sst>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0.18068390774669271</c:v>
                </c:pt>
                <c:pt idx="1">
                  <c:v>0.45787135602554629</c:v>
                </c:pt>
                <c:pt idx="2">
                  <c:v>0.8529930060836477</c:v>
                </c:pt>
                <c:pt idx="3">
                  <c:v>1.1454096156175406</c:v>
                </c:pt>
                <c:pt idx="4">
                  <c:v>1.2156138742907894</c:v>
                </c:pt>
                <c:pt idx="5">
                  <c:v>1.4414884241162307</c:v>
                </c:pt>
                <c:pt idx="6">
                  <c:v>1.6120291468790355</c:v>
                </c:pt>
                <c:pt idx="7">
                  <c:v>1.7825289647078235</c:v>
                </c:pt>
                <c:pt idx="8">
                  <c:v>2.2463976053860431</c:v>
                </c:pt>
                <c:pt idx="9">
                  <c:v>2.3182341843564376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15</xdr:row>
      <xdr:rowOff>85789</xdr:rowOff>
    </xdr:from>
    <xdr:to>
      <xdr:col>5</xdr:col>
      <xdr:colOff>163870</xdr:colOff>
      <xdr:row>28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G13"/>
  <sheetViews>
    <sheetView tabSelected="1" zoomScale="166" workbookViewId="0">
      <selection activeCell="C5" sqref="C5"/>
    </sheetView>
  </sheetViews>
  <sheetFormatPr baseColWidth="10" defaultRowHeight="16" x14ac:dyDescent="0.2"/>
  <sheetData>
    <row r="1" spans="1:7" x14ac:dyDescent="0.2">
      <c r="A1" t="s">
        <v>4</v>
      </c>
      <c r="B1" t="s">
        <v>5</v>
      </c>
      <c r="E1" t="s">
        <v>6</v>
      </c>
      <c r="F1">
        <f>1/0.0215</f>
        <v>46.511627906976749</v>
      </c>
      <c r="G1">
        <f>1/0.021</f>
        <v>47.619047619047613</v>
      </c>
    </row>
    <row r="2" spans="1:7" x14ac:dyDescent="0.2">
      <c r="A2">
        <f>5322-685</f>
        <v>4637</v>
      </c>
      <c r="B2">
        <v>100</v>
      </c>
    </row>
    <row r="3" spans="1:7" x14ac:dyDescent="0.2">
      <c r="A3" t="s">
        <v>2</v>
      </c>
      <c r="B3" t="s">
        <v>1</v>
      </c>
      <c r="C3" t="s">
        <v>0</v>
      </c>
      <c r="D3" t="s">
        <v>3</v>
      </c>
      <c r="F3" t="s">
        <v>7</v>
      </c>
    </row>
    <row r="4" spans="1:7" x14ac:dyDescent="0.2">
      <c r="A4">
        <v>10</v>
      </c>
      <c r="B4">
        <f>-(3191-87)</f>
        <v>-3104</v>
      </c>
      <c r="C4">
        <v>100</v>
      </c>
      <c r="D4">
        <f t="shared" ref="D4:D9" si="0">-LN(((1-(B4/$A$2))/2))</f>
        <v>0.18068390774669271</v>
      </c>
    </row>
    <row r="5" spans="1:7" x14ac:dyDescent="0.2">
      <c r="A5">
        <v>20</v>
      </c>
      <c r="B5">
        <f>-(1250-20)</f>
        <v>-1230</v>
      </c>
      <c r="C5">
        <v>100</v>
      </c>
      <c r="D5">
        <f>-LN(((1-(B5/$A$2))/2))</f>
        <v>0.45787135602554629</v>
      </c>
    </row>
    <row r="6" spans="1:7" x14ac:dyDescent="0.2">
      <c r="A6">
        <v>40</v>
      </c>
      <c r="B6">
        <f>770-85</f>
        <v>685</v>
      </c>
      <c r="C6">
        <v>100</v>
      </c>
      <c r="D6">
        <f t="shared" si="0"/>
        <v>0.8529930060836477</v>
      </c>
    </row>
    <row r="7" spans="1:7" x14ac:dyDescent="0.2">
      <c r="A7">
        <v>50</v>
      </c>
      <c r="B7">
        <f>1824-137</f>
        <v>1687</v>
      </c>
      <c r="C7">
        <v>100</v>
      </c>
      <c r="D7">
        <f>-LN(((1-(B7/$A$2))/2))</f>
        <v>1.1454096156175406</v>
      </c>
    </row>
    <row r="8" spans="1:7" x14ac:dyDescent="0.2">
      <c r="A8">
        <v>60</v>
      </c>
      <c r="B8">
        <f>1977-90</f>
        <v>1887</v>
      </c>
      <c r="C8">
        <v>100</v>
      </c>
      <c r="D8">
        <f>-LN(((1-(B8/$A$2))/2))</f>
        <v>1.2156138742907894</v>
      </c>
    </row>
    <row r="9" spans="1:7" x14ac:dyDescent="0.2">
      <c r="A9">
        <v>70</v>
      </c>
      <c r="B9">
        <f>2533-90</f>
        <v>2443</v>
      </c>
      <c r="C9">
        <v>100</v>
      </c>
      <c r="D9">
        <f t="shared" si="0"/>
        <v>1.4414884241162307</v>
      </c>
    </row>
    <row r="10" spans="1:7" x14ac:dyDescent="0.2">
      <c r="A10">
        <v>80</v>
      </c>
      <c r="B10">
        <f>2877-90</f>
        <v>2787</v>
      </c>
      <c r="C10">
        <v>100</v>
      </c>
      <c r="D10">
        <f>-LN(((1-(B10/$A$2))/2))</f>
        <v>1.6120291468790355</v>
      </c>
    </row>
    <row r="11" spans="1:7" x14ac:dyDescent="0.2">
      <c r="A11">
        <v>90</v>
      </c>
      <c r="B11">
        <f>3203-126</f>
        <v>3077</v>
      </c>
      <c r="C11">
        <v>100</v>
      </c>
      <c r="D11">
        <f>-LN(((1-(B11/$A$2))/2))</f>
        <v>1.7825289647078235</v>
      </c>
    </row>
    <row r="12" spans="1:7" x14ac:dyDescent="0.2">
      <c r="A12">
        <v>100</v>
      </c>
      <c r="B12">
        <f>3813-157</f>
        <v>3656</v>
      </c>
      <c r="C12">
        <v>100</v>
      </c>
      <c r="D12">
        <f>-LN(((1-(B12/$A$2))/2))</f>
        <v>2.2463976053860431</v>
      </c>
    </row>
    <row r="13" spans="1:7" x14ac:dyDescent="0.2">
      <c r="A13">
        <v>110</v>
      </c>
      <c r="B13">
        <f>3854-130</f>
        <v>3724</v>
      </c>
      <c r="C13">
        <v>100</v>
      </c>
      <c r="D13">
        <f>-LN(((1-(B13/$A$2))/2))</f>
        <v>2.3182341843564376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2026-02-27T11:07:35Z</dcterms:modified>
</cp:coreProperties>
</file>