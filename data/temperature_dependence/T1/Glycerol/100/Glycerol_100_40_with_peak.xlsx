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temperature/"/>
    </mc:Choice>
  </mc:AlternateContent>
  <xr:revisionPtr revIDLastSave="0" documentId="13_ncr:1_{59B1470D-2764-9A4F-862D-74B4F980FB80}" xr6:coauthVersionLast="47" xr6:coauthVersionMax="47" xr10:uidLastSave="{00000000-0000-0000-0000-000000000000}"/>
  <bookViews>
    <workbookView xWindow="1440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3" i="1"/>
  <c r="B13" i="1"/>
  <c r="B11" i="1"/>
  <c r="D11" i="1" s="1"/>
  <c r="B10" i="1"/>
  <c r="D10" i="1" s="1"/>
  <c r="B12" i="1"/>
  <c r="D12" i="1" s="1"/>
  <c r="B7" i="1"/>
  <c r="B8" i="1"/>
  <c r="D8" i="1" s="1"/>
  <c r="B9" i="1"/>
  <c r="D9" i="1" s="1"/>
  <c r="B6" i="1"/>
  <c r="B5" i="1"/>
  <c r="B4" i="1"/>
  <c r="A2" i="1"/>
  <c r="D4" i="1" s="1"/>
  <c r="D5" i="1" l="1"/>
  <c r="D7" i="1"/>
  <c r="D6" i="1"/>
</calcChain>
</file>

<file path=xl/sharedStrings.xml><?xml version="1.0" encoding="utf-8"?>
<sst xmlns="http://schemas.openxmlformats.org/spreadsheetml/2006/main" count="8" uniqueCount="8">
  <si>
    <t>delta V/mV</t>
  </si>
  <si>
    <t>V/mV</t>
  </si>
  <si>
    <t>t/ms</t>
  </si>
  <si>
    <t>y</t>
  </si>
  <si>
    <t>M0/mV</t>
  </si>
  <si>
    <t>delta M0/mV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</si>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</sst>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150</c:v>
                </c:pt>
                <c:pt idx="9">
                  <c:v>70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0.13059422116567268</c:v>
                </c:pt>
                <c:pt idx="1">
                  <c:v>0.35515219987269303</c:v>
                </c:pt>
                <c:pt idx="2">
                  <c:v>1.292360830408529</c:v>
                </c:pt>
                <c:pt idx="3">
                  <c:v>1.3009796181678392</c:v>
                </c:pt>
                <c:pt idx="4">
                  <c:v>1.5032714700719783</c:v>
                </c:pt>
                <c:pt idx="5">
                  <c:v>1.6405546132556346</c:v>
                </c:pt>
                <c:pt idx="6">
                  <c:v>1.7833602103633097</c:v>
                </c:pt>
                <c:pt idx="7">
                  <c:v>1.8410831420982685</c:v>
                </c:pt>
                <c:pt idx="8">
                  <c:v>2.0065037616775196</c:v>
                </c:pt>
                <c:pt idx="9">
                  <c:v>1.0265974436643943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602898</xdr:colOff>
      <xdr:row>14</xdr:row>
      <xdr:rowOff>57193</xdr:rowOff>
    </xdr:from>
    <xdr:to>
      <xdr:col>4</xdr:col>
      <xdr:colOff>623947</xdr:colOff>
      <xdr:row>27</xdr:row>
      <xdr:rowOff>43098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59" workbookViewId="0">
      <selection activeCell="E6" sqref="E6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1/0.0137</f>
        <v>72.992700729927009</v>
      </c>
    </row>
    <row r="2" spans="1:6" x14ac:dyDescent="0.2">
      <c r="A2">
        <f>5217-1186</f>
        <v>4031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  <c r="F3" t="s">
        <v>7</v>
      </c>
    </row>
    <row r="4" spans="1:6" x14ac:dyDescent="0.2">
      <c r="A4">
        <v>10</v>
      </c>
      <c r="B4">
        <f>-(3281-237)</f>
        <v>-3044</v>
      </c>
      <c r="C4">
        <v>100</v>
      </c>
      <c r="D4">
        <f t="shared" ref="D4" si="0">-LN(((1-(B4/$A$2))/2))</f>
        <v>0.13059422116567268</v>
      </c>
    </row>
    <row r="5" spans="1:6" x14ac:dyDescent="0.2">
      <c r="A5">
        <v>20</v>
      </c>
      <c r="B5">
        <f>-1858+237</f>
        <v>-1621</v>
      </c>
      <c r="C5">
        <v>100</v>
      </c>
      <c r="D5">
        <f>-LN(((1-(B5/$A$2))/2))</f>
        <v>0.35515219987269303</v>
      </c>
    </row>
    <row r="6" spans="1:6" x14ac:dyDescent="0.2">
      <c r="A6">
        <v>80</v>
      </c>
      <c r="B6">
        <f>2759-942</f>
        <v>1817</v>
      </c>
      <c r="C6">
        <v>100</v>
      </c>
      <c r="D6">
        <f>-LN(((1-(B6/$A$2))/2))</f>
        <v>1.292360830408529</v>
      </c>
    </row>
    <row r="7" spans="1:6" x14ac:dyDescent="0.2">
      <c r="A7">
        <v>90</v>
      </c>
      <c r="B7">
        <f>2874-1038</f>
        <v>1836</v>
      </c>
      <c r="C7">
        <v>100</v>
      </c>
      <c r="D7">
        <f>-LN(((1-(B7/$A$2))/2))</f>
        <v>1.3009796181678392</v>
      </c>
    </row>
    <row r="8" spans="1:6" x14ac:dyDescent="0.2">
      <c r="A8">
        <v>100</v>
      </c>
      <c r="B8">
        <f>3276-1038</f>
        <v>2238</v>
      </c>
      <c r="C8">
        <v>100</v>
      </c>
      <c r="D8">
        <f>-LN(((1-(B8/$A$2))/2))</f>
        <v>1.5032714700719783</v>
      </c>
    </row>
    <row r="9" spans="1:6" x14ac:dyDescent="0.2">
      <c r="A9">
        <v>110</v>
      </c>
      <c r="B9">
        <f>3525-1057</f>
        <v>2468</v>
      </c>
      <c r="C9">
        <v>100</v>
      </c>
      <c r="D9">
        <f>-LN(((1-(B9/$A$2))/2))</f>
        <v>1.6405546132556346</v>
      </c>
    </row>
    <row r="10" spans="1:6" x14ac:dyDescent="0.2">
      <c r="A10">
        <v>120</v>
      </c>
      <c r="B10">
        <f>3870-1194</f>
        <v>2676</v>
      </c>
      <c r="C10">
        <v>100</v>
      </c>
      <c r="D10">
        <f t="shared" ref="D10:D11" si="1">-LN(((1-(B10/$A$2))/2))</f>
        <v>1.7833602103633097</v>
      </c>
    </row>
    <row r="11" spans="1:6" x14ac:dyDescent="0.2">
      <c r="A11">
        <v>130</v>
      </c>
      <c r="B11">
        <f>3946-1194</f>
        <v>2752</v>
      </c>
      <c r="C11">
        <v>100</v>
      </c>
      <c r="D11">
        <f t="shared" si="1"/>
        <v>1.8410831420982685</v>
      </c>
    </row>
    <row r="12" spans="1:6" x14ac:dyDescent="0.2">
      <c r="A12">
        <v>150</v>
      </c>
      <c r="B12">
        <f>4157-1210</f>
        <v>2947</v>
      </c>
      <c r="C12">
        <v>100</v>
      </c>
      <c r="D12">
        <f>-LN(((1-(B12/$A$2))/2))</f>
        <v>2.0065037616775196</v>
      </c>
    </row>
    <row r="13" spans="1:6" x14ac:dyDescent="0.2">
      <c r="A13">
        <v>70</v>
      </c>
      <c r="B13">
        <f>1954-811</f>
        <v>1143</v>
      </c>
      <c r="C13">
        <v>100</v>
      </c>
      <c r="D13">
        <f>-LN(((1-(B13/$A$2))/2))</f>
        <v>1.0265974436643943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2026-02-27T12:44:00Z</dcterms:modified>
</cp:coreProperties>
</file>