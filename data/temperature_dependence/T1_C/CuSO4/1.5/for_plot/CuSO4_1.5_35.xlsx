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1A563996-E63B-7548-BCD3-F19CA2FBC5D2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7" i="1"/>
  <c r="D12" i="1"/>
  <c r="D13" i="1"/>
  <c r="D4" i="1"/>
  <c r="D11" i="1"/>
  <c r="D8" i="1"/>
  <c r="D10" i="1"/>
  <c r="D9" i="1"/>
  <c r="D5" i="1"/>
  <c r="D6" i="1"/>
</calcChain>
</file>

<file path=xl/sharedStrings.xml><?xml version="1.0" encoding="utf-8"?>
<sst xmlns="http://schemas.openxmlformats.org/spreadsheetml/2006/main" count="6" uniqueCount="6">
  <si>
    <t>delta V/mV</t>
  </si>
  <si>
    <t>V/mV</t>
  </si>
  <si>
    <t>t/ms</t>
  </si>
  <si>
    <t>y</t>
  </si>
  <si>
    <t>M0/mV</t>
  </si>
  <si>
    <t>delta M0/mV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</si>
</sst>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75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0.20089079010373517</c:v>
                </c:pt>
                <c:pt idx="1">
                  <c:v>0.26763782839312594</c:v>
                </c:pt>
                <c:pt idx="2">
                  <c:v>0.29165120665928557</c:v>
                </c:pt>
                <c:pt idx="3">
                  <c:v>0.44051320073503036</c:v>
                </c:pt>
                <c:pt idx="4">
                  <c:v>1.0279922206570273</c:v>
                </c:pt>
                <c:pt idx="5">
                  <c:v>1.269294104368448</c:v>
                </c:pt>
                <c:pt idx="6">
                  <c:v>1.4317669710826408</c:v>
                </c:pt>
                <c:pt idx="7">
                  <c:v>1.4198620685763224</c:v>
                </c:pt>
                <c:pt idx="8">
                  <c:v>1.5842301457153962</c:v>
                </c:pt>
                <c:pt idx="9">
                  <c:v>1.589609394835132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75326</xdr:rowOff>
    </xdr:from>
    <xdr:to>
      <xdr:col>4</xdr:col>
      <xdr:colOff>21048</xdr:colOff>
      <xdr:row>22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topLeftCell="B1" zoomScale="190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F1">
        <f>1/0.0236</f>
        <v>42.372881355932208</v>
      </c>
    </row>
    <row r="2" spans="1:6" x14ac:dyDescent="0.2">
      <c r="A2">
        <v>4544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5</v>
      </c>
      <c r="B4">
        <v>-2890</v>
      </c>
      <c r="C4">
        <v>100</v>
      </c>
      <c r="D4">
        <f>-LN(((1-(B4/$A$2))/2))</f>
        <v>0.20089079010373517</v>
      </c>
    </row>
    <row r="5" spans="1:6" x14ac:dyDescent="0.2">
      <c r="A5">
        <v>10</v>
      </c>
      <c r="B5">
        <v>-2410</v>
      </c>
      <c r="C5">
        <v>100</v>
      </c>
      <c r="D5">
        <f>-LN(((1-(B5/$A$2))/2))</f>
        <v>0.26763782839312594</v>
      </c>
    </row>
    <row r="6" spans="1:6" x14ac:dyDescent="0.2">
      <c r="A6">
        <v>15</v>
      </c>
      <c r="B6">
        <v>-2245</v>
      </c>
      <c r="C6">
        <v>100</v>
      </c>
      <c r="D6">
        <f t="shared" ref="D6:D7" si="0">-LN(((1-(B6/$A$2))/2))</f>
        <v>0.29165120665928557</v>
      </c>
    </row>
    <row r="7" spans="1:6" x14ac:dyDescent="0.2">
      <c r="A7">
        <v>20</v>
      </c>
      <c r="B7">
        <v>-1306</v>
      </c>
      <c r="D7">
        <f t="shared" si="0"/>
        <v>0.44051320073503036</v>
      </c>
    </row>
    <row r="8" spans="1:6" x14ac:dyDescent="0.2">
      <c r="A8">
        <v>40</v>
      </c>
      <c r="B8">
        <v>1293</v>
      </c>
      <c r="C8">
        <v>100</v>
      </c>
      <c r="D8">
        <f>-LN(((1-(B8/$A$2))/2))</f>
        <v>1.0279922206570273</v>
      </c>
    </row>
    <row r="9" spans="1:6" x14ac:dyDescent="0.2">
      <c r="A9">
        <v>45</v>
      </c>
      <c r="B9">
        <v>1990</v>
      </c>
      <c r="C9">
        <v>100</v>
      </c>
      <c r="D9">
        <f>-LN(((1-(B9/$A$2))/2))</f>
        <v>1.269294104368448</v>
      </c>
    </row>
    <row r="10" spans="1:6" x14ac:dyDescent="0.2">
      <c r="A10">
        <v>50</v>
      </c>
      <c r="B10">
        <v>2373</v>
      </c>
      <c r="C10">
        <v>100</v>
      </c>
      <c r="D10">
        <f>-LN(((1-(B10/$A$2))/2))</f>
        <v>1.4317669710826408</v>
      </c>
    </row>
    <row r="11" spans="1:6" x14ac:dyDescent="0.2">
      <c r="A11">
        <v>55</v>
      </c>
      <c r="B11">
        <v>2347</v>
      </c>
      <c r="C11">
        <v>100</v>
      </c>
      <c r="D11">
        <f>-LN(((1-(B11/$A$2))/2))</f>
        <v>1.4198620685763224</v>
      </c>
    </row>
    <row r="12" spans="1:6" x14ac:dyDescent="0.2">
      <c r="A12">
        <v>65</v>
      </c>
      <c r="B12">
        <v>2680</v>
      </c>
      <c r="C12">
        <v>100</v>
      </c>
      <c r="D12">
        <f t="shared" ref="D12:D13" si="1">-LN(((1-(B12/$A$2))/2))</f>
        <v>1.5842301457153962</v>
      </c>
    </row>
    <row r="13" spans="1:6" x14ac:dyDescent="0.2">
      <c r="A13">
        <v>75</v>
      </c>
      <c r="B13">
        <v>2690</v>
      </c>
      <c r="C13">
        <v>100</v>
      </c>
      <c r="D13">
        <f t="shared" si="1"/>
        <v>1.589609394835132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2026-02-27T12:44:22Z</dcterms:modified>
</cp:coreProperties>
</file>