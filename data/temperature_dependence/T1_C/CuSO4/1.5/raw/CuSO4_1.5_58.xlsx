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T1_data/CuSO4/temperature/"/>
    </mc:Choice>
  </mc:AlternateContent>
  <xr:revisionPtr revIDLastSave="0" documentId="13_ncr:1_{3AD4F50C-B3D8-804F-9298-2CC70ECC2BE4}" xr6:coauthVersionLast="47" xr6:coauthVersionMax="47" xr10:uidLastSave="{00000000-0000-0000-0000-000000000000}"/>
  <bookViews>
    <workbookView xWindow="9580" yWindow="500" windowWidth="14400" windowHeight="18000" xr2:uid="{9C9E1021-3647-314D-BCD8-EA354792559E}"/>
  </bookViews>
  <sheets>
    <sheet name="CuSO4_1.5_T=5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C13" i="1"/>
  <c r="F13" i="1" s="1"/>
  <c r="F14" i="1"/>
  <c r="F12" i="1"/>
  <c r="F11" i="1"/>
  <c r="F9" i="1"/>
  <c r="F6" i="1"/>
  <c r="H1" i="1"/>
</calcChain>
</file>

<file path=xl/sharedStrings.xml><?xml version="1.0" encoding="utf-8"?>
<sst xmlns="http://schemas.openxmlformats.org/spreadsheetml/2006/main" count="9" uniqueCount="9">
  <si>
    <t>M0 （mV)</t>
  </si>
  <si>
    <t>repetition time</t>
  </si>
  <si>
    <t>0.1s</t>
  </si>
  <si>
    <t>T1</t>
  </si>
  <si>
    <t>delta M0</t>
  </si>
  <si>
    <t>tau(ms)</t>
  </si>
  <si>
    <t>V (mV)</t>
  </si>
  <si>
    <t>delta V (mV)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</si>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</sst>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'CuSO4_1.5_T=50'!$A$5:$A$15</c:f>
              <c:numCache>
                <c:formatCode>0.00_ </c:formatCode>
                <c:ptCount val="11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20</c:v>
                </c:pt>
                <c:pt idx="6">
                  <c:v>40</c:v>
                </c:pt>
                <c:pt idx="7">
                  <c:v>60</c:v>
                </c:pt>
                <c:pt idx="8">
                  <c:v>80</c:v>
                </c:pt>
                <c:pt idx="9">
                  <c:v>100</c:v>
                </c:pt>
                <c:pt idx="10">
                  <c:v>120</c:v>
                </c:pt>
              </c:numCache>
            </c:numRef>
          </c:xVal>
          <c:yVal>
            <c:numRef>
              <c:f>'CuSO4_1.5_T=50'!$F$5:$F$15</c:f>
              <c:numCache>
                <c:formatCode>General</c:formatCode>
                <c:ptCount val="11"/>
                <c:pt idx="1">
                  <c:v>7.5483464538880177E-2</c:v>
                </c:pt>
                <c:pt idx="4">
                  <c:v>0.24619021076346048</c:v>
                </c:pt>
                <c:pt idx="6">
                  <c:v>1.1493532039920595</c:v>
                </c:pt>
                <c:pt idx="7">
                  <c:v>1.6931449086232704</c:v>
                </c:pt>
                <c:pt idx="8">
                  <c:v>2.4090133613823475</c:v>
                </c:pt>
                <c:pt idx="9">
                  <c:v>3.3730078912137142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83-E949-A2A8-5562321A3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820618</xdr:colOff>
      <xdr:row>17</xdr:row>
      <xdr:rowOff>90715</xdr:rowOff>
    </xdr:from>
    <xdr:to>
      <xdr:col>5</xdr:col>
      <xdr:colOff>141607</xdr:colOff>
      <xdr:row>29</xdr:row>
      <xdr:rowOff>74111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F9835D-7E40-A340-AE8D-955F85BF74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0E680-5FA7-0F43-A6B2-155FF3743D2E}">
  <dimension ref="A1:H21"/>
  <sheetViews>
    <sheetView tabSelected="1" zoomScale="140" workbookViewId="0">
      <selection activeCell="E10" sqref="E10"/>
    </sheetView>
  </sheetViews>
  <sheetFormatPr baseColWidth="10" defaultRowHeight="16" x14ac:dyDescent="0.2"/>
  <cols>
    <col min="4" max="4" width="18" customWidth="1"/>
  </cols>
  <sheetData>
    <row r="1" spans="1:8" x14ac:dyDescent="0.2">
      <c r="A1" s="1" t="s">
        <v>0</v>
      </c>
      <c r="B1" s="2">
        <v>4477</v>
      </c>
      <c r="C1">
        <v>1642</v>
      </c>
      <c r="D1" t="s">
        <v>1</v>
      </c>
      <c r="E1" t="s">
        <v>2</v>
      </c>
      <c r="G1" t="s">
        <v>3</v>
      </c>
      <c r="H1">
        <f>1/0.0269</f>
        <v>37.174721189591075</v>
      </c>
    </row>
    <row r="2" spans="1:8" x14ac:dyDescent="0.2">
      <c r="A2" s="1" t="s">
        <v>4</v>
      </c>
      <c r="B2" s="2">
        <v>40</v>
      </c>
    </row>
    <row r="4" spans="1:8" x14ac:dyDescent="0.2">
      <c r="A4" s="1" t="s">
        <v>5</v>
      </c>
      <c r="C4" s="2" t="s">
        <v>6</v>
      </c>
      <c r="D4" s="2" t="s">
        <v>7</v>
      </c>
      <c r="F4" t="s">
        <v>8</v>
      </c>
    </row>
    <row r="5" spans="1:8" x14ac:dyDescent="0.2">
      <c r="A5" s="1">
        <v>1</v>
      </c>
      <c r="C5" s="2"/>
      <c r="D5" s="2">
        <v>100</v>
      </c>
    </row>
    <row r="6" spans="1:8" x14ac:dyDescent="0.2">
      <c r="A6" s="1">
        <v>3</v>
      </c>
      <c r="C6" s="2">
        <v>-3826</v>
      </c>
      <c r="D6" s="2">
        <v>100</v>
      </c>
      <c r="F6">
        <f t="shared" ref="F6:F14" si="0">-LN(((1-(C6/$B$1))/2))</f>
        <v>7.5483464538880177E-2</v>
      </c>
    </row>
    <row r="7" spans="1:8" x14ac:dyDescent="0.2">
      <c r="A7" s="1">
        <v>5</v>
      </c>
      <c r="C7" s="2"/>
      <c r="D7" s="2">
        <v>100</v>
      </c>
    </row>
    <row r="8" spans="1:8" x14ac:dyDescent="0.2">
      <c r="A8" s="1">
        <v>7</v>
      </c>
      <c r="C8" s="2"/>
      <c r="D8" s="2">
        <v>100</v>
      </c>
    </row>
    <row r="9" spans="1:8" x14ac:dyDescent="0.2">
      <c r="A9" s="1">
        <v>9</v>
      </c>
      <c r="C9" s="2">
        <v>-2523</v>
      </c>
      <c r="D9" s="2">
        <v>100</v>
      </c>
      <c r="F9">
        <f t="shared" si="0"/>
        <v>0.24619021076346048</v>
      </c>
    </row>
    <row r="10" spans="1:8" x14ac:dyDescent="0.2">
      <c r="A10" s="1">
        <v>20</v>
      </c>
      <c r="C10" s="2"/>
      <c r="D10" s="2"/>
    </row>
    <row r="11" spans="1:8" x14ac:dyDescent="0.2">
      <c r="A11" s="1">
        <v>40</v>
      </c>
      <c r="C11" s="2">
        <v>1640</v>
      </c>
      <c r="D11" s="2">
        <v>100</v>
      </c>
      <c r="F11">
        <f t="shared" si="0"/>
        <v>1.1493532039920595</v>
      </c>
    </row>
    <row r="12" spans="1:8" x14ac:dyDescent="0.2">
      <c r="A12" s="1">
        <v>60</v>
      </c>
      <c r="C12" s="2">
        <v>2830</v>
      </c>
      <c r="D12" s="2">
        <v>100</v>
      </c>
      <c r="F12">
        <f t="shared" si="0"/>
        <v>1.6931449086232704</v>
      </c>
    </row>
    <row r="13" spans="1:8" x14ac:dyDescent="0.2">
      <c r="A13" s="1">
        <v>80</v>
      </c>
      <c r="C13" s="2">
        <f>3672</f>
        <v>3672</v>
      </c>
      <c r="D13" s="2">
        <v>100</v>
      </c>
      <c r="F13">
        <f t="shared" si="0"/>
        <v>2.4090133613823475</v>
      </c>
    </row>
    <row r="14" spans="1:8" x14ac:dyDescent="0.2">
      <c r="A14" s="1">
        <v>100</v>
      </c>
      <c r="C14" s="2">
        <v>4170</v>
      </c>
      <c r="D14" s="2">
        <v>100</v>
      </c>
      <c r="F14">
        <f t="shared" si="0"/>
        <v>3.3730078912137142</v>
      </c>
    </row>
    <row r="15" spans="1:8" x14ac:dyDescent="0.2">
      <c r="A15" s="1">
        <v>120</v>
      </c>
      <c r="C15" s="2">
        <v>4745</v>
      </c>
      <c r="D15" s="2">
        <v>100</v>
      </c>
      <c r="F15" t="e">
        <f>-LN(((1-(C15/$B$1))/2))</f>
        <v>#NUM!</v>
      </c>
    </row>
    <row r="16" spans="1:8" x14ac:dyDescent="0.2">
      <c r="A16" s="1"/>
      <c r="C16" s="2"/>
    </row>
    <row r="20" spans="1:4" x14ac:dyDescent="0.2">
      <c r="A20" s="1"/>
      <c r="C20" s="2"/>
      <c r="D20" s="2"/>
    </row>
    <row r="21" spans="1:4" x14ac:dyDescent="0.2">
      <c r="A21" s="1"/>
      <c r="C21" s="2"/>
      <c r="D21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CuSO4_1.5_T=50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2026-02-26T13:40:58Z</dcterms:created>
  <dcterms:modified xsi:type="dcterms:W3CDTF">2026-02-26T17:14:49Z</dcterms:modified>
</cp:coreProperties>
</file>