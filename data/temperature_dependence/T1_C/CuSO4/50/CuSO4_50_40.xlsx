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CuSO4/50/"/>
    </mc:Choice>
  </mc:AlternateContent>
  <xr:revisionPtr revIDLastSave="0" documentId="13_ncr:1_{3F14559B-6282-E343-AD9B-B0D55EEFF438}" xr6:coauthVersionLast="47" xr6:coauthVersionMax="47" xr10:uidLastSave="{00000000-0000-0000-0000-000000000000}"/>
  <bookViews>
    <workbookView xWindow="0" yWindow="0" windowWidth="24760" windowHeight="12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A2" i="1"/>
  <c r="F1" i="1"/>
</calcChain>
</file>

<file path=xl/sharedStrings.xml><?xml version="1.0" encoding="utf-8"?>
<sst xmlns="http://schemas.openxmlformats.org/spreadsheetml/2006/main" count="7" uniqueCount="7">
  <si>
    <t>M0/mV</t>
  </si>
  <si>
    <t>delta M0/mV</t>
  </si>
  <si>
    <t>t/ms</t>
  </si>
  <si>
    <t>V/mV</t>
  </si>
  <si>
    <t>delta V/mV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</si>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</sst>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charset val="13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0.33733591883986502</c:v>
                </c:pt>
                <c:pt idx="1">
                  <c:v>0.673606562879002</c:v>
                </c:pt>
                <c:pt idx="2">
                  <c:v>1.0299072283790001</c:v>
                </c:pt>
                <c:pt idx="3">
                  <c:v>1.30140925812315</c:v>
                </c:pt>
                <c:pt idx="4">
                  <c:v>1.6874272312957901</c:v>
                </c:pt>
                <c:pt idx="5">
                  <c:v>1.8266892986293</c:v>
                </c:pt>
                <c:pt idx="6">
                  <c:v>2.1485812452645501</c:v>
                </c:pt>
                <c:pt idx="7">
                  <c:v>2.3413536987024601</c:v>
                </c:pt>
                <c:pt idx="8">
                  <c:v>2.6564743156092598</c:v>
                </c:pt>
                <c:pt idx="9">
                  <c:v>2.8199410716395898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08-B548-9E49-4AEB2D3AB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50" zoomScaleNormal="150" workbookViewId="0">
      <selection activeCell="E1" sqref="E1"/>
    </sheetView>
  </sheetViews>
  <sheetFormatPr baseColWidth="10" defaultColWidth="11" defaultRowHeight="16" x14ac:dyDescent="0.2"/>
  <cols>
    <col min="4" max="5" width="12.6640625"/>
  </cols>
  <sheetData>
    <row r="1" spans="1:6" x14ac:dyDescent="0.2">
      <c r="A1" t="s">
        <v>0</v>
      </c>
      <c r="B1" t="s">
        <v>1</v>
      </c>
      <c r="E1" s="1" t="s">
        <v>6</v>
      </c>
      <c r="F1">
        <f>1/0.551</f>
        <v>1.8148820326678801</v>
      </c>
    </row>
    <row r="2" spans="1:6" x14ac:dyDescent="0.2">
      <c r="A2">
        <f>(5119-254)</f>
        <v>4865</v>
      </c>
      <c r="B2">
        <v>400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</row>
    <row r="4" spans="1:6" x14ac:dyDescent="0.2">
      <c r="A4">
        <v>0.5</v>
      </c>
      <c r="B4">
        <f>-(2258-179)</f>
        <v>-2079</v>
      </c>
      <c r="C4">
        <v>400</v>
      </c>
      <c r="D4">
        <f t="shared" ref="D4:D13" si="0">-LN(((1-(B4/$A$2))/2))</f>
        <v>0.33733591883986502</v>
      </c>
    </row>
    <row r="5" spans="1:6" x14ac:dyDescent="0.2">
      <c r="A5">
        <v>1</v>
      </c>
      <c r="B5">
        <f>-(407-311)</f>
        <v>-96</v>
      </c>
      <c r="C5">
        <v>400</v>
      </c>
      <c r="D5">
        <f t="shared" si="0"/>
        <v>0.673606562879002</v>
      </c>
    </row>
    <row r="6" spans="1:6" x14ac:dyDescent="0.2">
      <c r="A6">
        <v>1.5</v>
      </c>
      <c r="B6">
        <f>1574-183</f>
        <v>1391</v>
      </c>
      <c r="C6">
        <v>400</v>
      </c>
      <c r="D6">
        <f t="shared" si="0"/>
        <v>1.0299072283790001</v>
      </c>
    </row>
    <row r="7" spans="1:6" x14ac:dyDescent="0.2">
      <c r="A7">
        <v>2</v>
      </c>
      <c r="B7">
        <f>(2471-254)</f>
        <v>2217</v>
      </c>
      <c r="C7">
        <v>400</v>
      </c>
      <c r="D7">
        <f t="shared" si="0"/>
        <v>1.30140925812315</v>
      </c>
    </row>
    <row r="8" spans="1:6" x14ac:dyDescent="0.2">
      <c r="A8">
        <v>2.5</v>
      </c>
      <c r="B8">
        <f>3244-179</f>
        <v>3065</v>
      </c>
      <c r="C8">
        <v>400</v>
      </c>
      <c r="D8">
        <f t="shared" si="0"/>
        <v>1.6874272312957901</v>
      </c>
    </row>
    <row r="9" spans="1:6" x14ac:dyDescent="0.2">
      <c r="A9">
        <v>3</v>
      </c>
      <c r="B9">
        <f>(3553-254)</f>
        <v>3299</v>
      </c>
      <c r="C9">
        <v>400</v>
      </c>
      <c r="D9">
        <f t="shared" si="0"/>
        <v>1.8266892986293</v>
      </c>
    </row>
    <row r="10" spans="1:6" x14ac:dyDescent="0.2">
      <c r="A10">
        <v>3.5</v>
      </c>
      <c r="B10">
        <f>(3913-183)</f>
        <v>3730</v>
      </c>
      <c r="C10">
        <v>400</v>
      </c>
      <c r="D10">
        <f t="shared" si="0"/>
        <v>2.1485812452645501</v>
      </c>
    </row>
    <row r="11" spans="1:6" x14ac:dyDescent="0.2">
      <c r="A11">
        <v>4</v>
      </c>
      <c r="B11">
        <f>(4183-254)</f>
        <v>3929</v>
      </c>
      <c r="C11">
        <v>400</v>
      </c>
      <c r="D11">
        <f t="shared" si="0"/>
        <v>2.3413536987024601</v>
      </c>
    </row>
    <row r="12" spans="1:6" x14ac:dyDescent="0.2">
      <c r="A12">
        <v>4.5</v>
      </c>
      <c r="B12">
        <f>(4365-183)</f>
        <v>4182</v>
      </c>
      <c r="C12">
        <v>400</v>
      </c>
      <c r="D12">
        <f t="shared" si="0"/>
        <v>2.6564743156092598</v>
      </c>
    </row>
    <row r="13" spans="1:6" x14ac:dyDescent="0.2">
      <c r="A13">
        <v>5</v>
      </c>
      <c r="B13">
        <f>(4468-183)</f>
        <v>4285</v>
      </c>
      <c r="C13">
        <v>400</v>
      </c>
      <c r="D13">
        <f t="shared" si="0"/>
        <v>2.8199410716395898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2026-02-25T13:18:00Z</dcterms:created>
  <dcterms:modified xsi:type="dcterms:W3CDTF">2026-03-01T18:01:43Z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