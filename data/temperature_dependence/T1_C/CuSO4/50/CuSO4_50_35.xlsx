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0B7529F1-5BA6-9949-93EA-280D1F49B0A0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<sst xmlns="http://schemas.openxmlformats.org/spreadsheetml/2006/main" count="7" uniqueCount="7">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</sst>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Sheet1!$A$4:$A$15</c:f>
              <c:numCache>
                <c:formatCode>General</c:formatCode>
                <c:ptCount val="12"/>
                <c:pt idx="0">
                  <c:v>0.1</c:v>
                </c:pt>
                <c:pt idx="1">
                  <c:v>0.6</c:v>
                </c:pt>
                <c:pt idx="2">
                  <c:v>1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Sheet1!$D$4:$D$15</c:f>
              <c:numCache>
                <c:formatCode>General</c:formatCode>
                <c:ptCount val="12"/>
                <c:pt idx="0">
                  <c:v>6.1746722910652203E-2</c:v>
                </c:pt>
                <c:pt idx="1">
                  <c:v>0.44909471973479198</c:v>
                </c:pt>
                <c:pt idx="2">
                  <c:v>0.72739640111928705</c:v>
                </c:pt>
                <c:pt idx="3">
                  <c:v>1.39520491015294</c:v>
                </c:pt>
                <c:pt idx="4">
                  <c:v>1.68153178521612</c:v>
                </c:pt>
                <c:pt idx="5">
                  <c:v>2.0063709738033499</c:v>
                </c:pt>
                <c:pt idx="6">
                  <c:v>2.2467155918826198</c:v>
                </c:pt>
                <c:pt idx="7">
                  <c:v>2.3167985302441001</c:v>
                </c:pt>
                <c:pt idx="8">
                  <c:v>2.7025211596230601</c:v>
                </c:pt>
                <c:pt idx="9">
                  <c:v>3.0306076028679998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8-2948-9C75-717429257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4</xdr:row>
      <xdr:rowOff>0</xdr:rowOff>
    </xdr:from>
    <xdr:to>
      <xdr:col>9</xdr:col>
      <xdr:colOff>814668</xdr:colOff>
      <xdr:row>11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50" zoomScaleNormal="150" workbookViewId="0">
      <selection activeCell="E2" sqref="E2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1/0.5857</f>
        <v>1.70735871606625</v>
      </c>
    </row>
    <row r="2" spans="1:6" x14ac:dyDescent="0.2">
      <c r="A2">
        <f>5247-287</f>
        <v>4960</v>
      </c>
      <c r="B2">
        <v>400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0.1</v>
      </c>
      <c r="B4">
        <f>-(4535-169)</f>
        <v>-4366</v>
      </c>
      <c r="C4">
        <v>400</v>
      </c>
      <c r="D4">
        <f>-LN(((1-(B4/$A$2))/2))</f>
        <v>6.1746722910652203E-2</v>
      </c>
    </row>
    <row r="5" spans="1:6" x14ac:dyDescent="0.2">
      <c r="A5">
        <v>0.6</v>
      </c>
      <c r="B5">
        <f>-(1560-189)</f>
        <v>-1371</v>
      </c>
      <c r="C5">
        <v>400</v>
      </c>
      <c r="D5">
        <f>-LN(((1-(B5/$A$2))/2))</f>
        <v>0.44909471973479198</v>
      </c>
    </row>
    <row r="6" spans="1:6" x14ac:dyDescent="0.2">
      <c r="A6">
        <v>1</v>
      </c>
      <c r="B6">
        <f>(521-354)</f>
        <v>167</v>
      </c>
      <c r="C6">
        <v>400</v>
      </c>
      <c r="D6">
        <f t="shared" ref="D6:D13" si="0">-LN(((1-(B6/$A$2))/2))</f>
        <v>0.72739640111928705</v>
      </c>
    </row>
    <row r="7" spans="1:6" x14ac:dyDescent="0.2">
      <c r="A7">
        <v>2</v>
      </c>
      <c r="B7">
        <f>2671-169</f>
        <v>2502</v>
      </c>
      <c r="C7">
        <v>400</v>
      </c>
      <c r="D7">
        <f t="shared" si="0"/>
        <v>1.39520491015294</v>
      </c>
    </row>
    <row r="8" spans="1:6" x14ac:dyDescent="0.2">
      <c r="A8">
        <v>2.5</v>
      </c>
      <c r="B8">
        <f>3283-169</f>
        <v>3114</v>
      </c>
      <c r="C8">
        <v>400</v>
      </c>
      <c r="D8">
        <f t="shared" si="0"/>
        <v>1.68153178521612</v>
      </c>
    </row>
    <row r="9" spans="1:6" x14ac:dyDescent="0.2">
      <c r="A9">
        <v>3</v>
      </c>
      <c r="B9">
        <f>(3795-169)</f>
        <v>3626</v>
      </c>
      <c r="C9">
        <v>400</v>
      </c>
      <c r="D9">
        <f t="shared" si="0"/>
        <v>2.0063709738033499</v>
      </c>
    </row>
    <row r="10" spans="1:6" x14ac:dyDescent="0.2">
      <c r="A10">
        <v>3.5</v>
      </c>
      <c r="B10">
        <f>4080-169</f>
        <v>3911</v>
      </c>
      <c r="C10">
        <v>400</v>
      </c>
      <c r="D10">
        <f t="shared" si="0"/>
        <v>2.2467155918826198</v>
      </c>
    </row>
    <row r="11" spans="1:6" x14ac:dyDescent="0.2">
      <c r="A11">
        <v>4</v>
      </c>
      <c r="B11">
        <f>4208-226</f>
        <v>3982</v>
      </c>
      <c r="C11">
        <v>400</v>
      </c>
      <c r="D11">
        <f t="shared" si="0"/>
        <v>2.3167985302441001</v>
      </c>
    </row>
    <row r="12" spans="1:6" x14ac:dyDescent="0.2">
      <c r="A12">
        <v>4.5</v>
      </c>
      <c r="B12">
        <f>4464-169</f>
        <v>4295</v>
      </c>
      <c r="C12">
        <v>400</v>
      </c>
      <c r="D12">
        <f t="shared" si="0"/>
        <v>2.7025211596230601</v>
      </c>
    </row>
    <row r="13" spans="1:6" x14ac:dyDescent="0.2">
      <c r="A13">
        <v>5</v>
      </c>
      <c r="B13">
        <f>(4650-169)</f>
        <v>4481</v>
      </c>
      <c r="C13">
        <v>400</v>
      </c>
      <c r="D13">
        <f t="shared" si="0"/>
        <v>3.0306076028679998</v>
      </c>
    </row>
    <row r="18" spans="2:2" x14ac:dyDescent="0.2">
      <c r="B18">
        <f>-(3808-235)</f>
        <v>-3573</v>
      </c>
    </row>
    <row r="19" spans="2:2" x14ac:dyDescent="0.2">
      <c r="B19">
        <v>-3159</v>
      </c>
    </row>
    <row r="20" spans="2:2" x14ac:dyDescent="0.2">
      <c r="B20">
        <v>-2007</v>
      </c>
    </row>
    <row r="21" spans="2:2" x14ac:dyDescent="0.2">
      <c r="B21">
        <v>-1432</v>
      </c>
    </row>
    <row r="22" spans="2:2" x14ac:dyDescent="0.2">
      <c r="B22">
        <v>-898</v>
      </c>
    </row>
    <row r="23" spans="2:2" x14ac:dyDescent="0.2">
      <c r="B23">
        <f>(580-361)</f>
        <v>219</v>
      </c>
    </row>
    <row r="24" spans="2:2" x14ac:dyDescent="0.2">
      <c r="B24">
        <f>(2773-215)</f>
        <v>2558</v>
      </c>
    </row>
    <row r="25" spans="2:2" x14ac:dyDescent="0.2">
      <c r="B25">
        <v>3914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