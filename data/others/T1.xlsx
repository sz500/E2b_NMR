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others/"/>
    </mc:Choice>
  </mc:AlternateContent>
  <xr:revisionPtr revIDLastSave="0" documentId="13_ncr:1_{DB4E0D45-377E-8745-A689-F532853A249B}" xr6:coauthVersionLast="47" xr6:coauthVersionMax="47" xr10:uidLastSave="{00000000-0000-0000-0000-000000000000}"/>
  <bookViews>
    <workbookView xWindow="480" yWindow="0" windowWidth="26140" windowHeight="18000" firstSheet="4" activeTab="15" xr2:uid="{F4C73EE6-E72C-9E43-B3D9-5342DBBE248F}"/>
  </bookViews>
  <sheets>
    <sheet name="Sheet1" sheetId="1" r:id="rId1"/>
    <sheet name="Sheet2" sheetId="2" r:id="rId2"/>
    <sheet name="Sheet3" sheetId="3" r:id="rId3"/>
    <sheet name="rough_T1" sheetId="4" r:id="rId4"/>
    <sheet name="proper_T1" sheetId="5" r:id="rId5"/>
    <sheet name="proper_T2" sheetId="6" r:id="rId6"/>
    <sheet name="Mineral Oil" sheetId="7" r:id="rId7"/>
    <sheet name="Gly_90" sheetId="9" r:id="rId8"/>
    <sheet name="Gly_75" sheetId="10" r:id="rId9"/>
    <sheet name="Gly_50" sheetId="11" r:id="rId10"/>
    <sheet name="Gly_3.05" sheetId="16" r:id="rId11"/>
    <sheet name="Gly_12.5" sheetId="13" r:id="rId12"/>
    <sheet name="Gly_6.1" sheetId="15" r:id="rId13"/>
    <sheet name="Gly_1.5" sheetId="18" r:id="rId14"/>
    <sheet name="CuSO4_3.1" sheetId="22" r:id="rId15"/>
    <sheet name="Gly_100_T=50" sheetId="19" r:id="rId16"/>
    <sheet name="CuSO4_1.5_T=50" sheetId="2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6" l="1"/>
  <c r="H1" i="18"/>
  <c r="H1" i="23"/>
  <c r="F14" i="19"/>
  <c r="F11" i="19"/>
  <c r="F9" i="19"/>
  <c r="C14" i="19"/>
  <c r="C13" i="19"/>
  <c r="F13" i="19" s="1"/>
  <c r="C12" i="19"/>
  <c r="F12" i="19"/>
  <c r="C11" i="19"/>
  <c r="C10" i="19"/>
  <c r="F10" i="19"/>
  <c r="F15" i="23"/>
  <c r="F10" i="23"/>
  <c r="F12" i="23"/>
  <c r="C6" i="23"/>
  <c r="C7" i="23"/>
  <c r="F7" i="23" s="1"/>
  <c r="C8" i="23"/>
  <c r="F8" i="23" s="1"/>
  <c r="C9" i="23"/>
  <c r="F9" i="23" s="1"/>
  <c r="F14" i="23"/>
  <c r="F13" i="23"/>
  <c r="F11" i="23"/>
  <c r="F6" i="23"/>
  <c r="C5" i="23"/>
  <c r="F5" i="23" s="1"/>
  <c r="C9" i="22"/>
  <c r="C10" i="22"/>
  <c r="C11" i="22"/>
  <c r="F11" i="22" s="1"/>
  <c r="C12" i="22"/>
  <c r="F12" i="22" s="1"/>
  <c r="F13" i="22"/>
  <c r="F10" i="22"/>
  <c r="F9" i="22"/>
  <c r="C8" i="22"/>
  <c r="F8" i="22" s="1"/>
  <c r="C7" i="22"/>
  <c r="F7" i="22" s="1"/>
  <c r="C6" i="22"/>
  <c r="F6" i="22" s="1"/>
  <c r="C5" i="22"/>
  <c r="F5" i="22" s="1"/>
  <c r="H1" i="22"/>
  <c r="C9" i="19"/>
  <c r="C8" i="19"/>
  <c r="F8" i="19" s="1"/>
  <c r="C7" i="19"/>
  <c r="F7" i="19" s="1"/>
  <c r="C6" i="19"/>
  <c r="F6" i="19" s="1"/>
  <c r="C5" i="19"/>
  <c r="F5" i="19" s="1"/>
  <c r="H1" i="19"/>
  <c r="F13" i="18"/>
  <c r="F12" i="18"/>
  <c r="F11" i="18"/>
  <c r="F10" i="18"/>
  <c r="F9" i="18"/>
  <c r="F8" i="18"/>
  <c r="F7" i="18"/>
  <c r="F6" i="18"/>
  <c r="F5" i="18"/>
  <c r="F15" i="16"/>
  <c r="F5" i="16"/>
  <c r="F14" i="16"/>
  <c r="F13" i="16"/>
  <c r="F12" i="16"/>
  <c r="F11" i="16"/>
  <c r="F10" i="16"/>
  <c r="F9" i="16"/>
  <c r="F8" i="16"/>
  <c r="C8" i="16"/>
  <c r="C7" i="16"/>
  <c r="F7" i="16" s="1"/>
  <c r="C6" i="16"/>
  <c r="F6" i="16" s="1"/>
  <c r="C5" i="16"/>
  <c r="H1" i="15"/>
  <c r="F14" i="15"/>
  <c r="F13" i="15"/>
  <c r="F12" i="15"/>
  <c r="F11" i="15"/>
  <c r="F10" i="15"/>
  <c r="C9" i="15"/>
  <c r="F9" i="15" s="1"/>
  <c r="C8" i="15"/>
  <c r="F8" i="15" s="1"/>
  <c r="C7" i="15"/>
  <c r="F7" i="15" s="1"/>
  <c r="C6" i="15"/>
  <c r="F6" i="15" s="1"/>
  <c r="C5" i="15"/>
  <c r="F5" i="15" s="1"/>
  <c r="H1" i="13"/>
  <c r="C15" i="13"/>
  <c r="C16" i="13"/>
  <c r="F16" i="13" s="1"/>
  <c r="F24" i="13"/>
  <c r="F23" i="13"/>
  <c r="F22" i="13"/>
  <c r="F21" i="13"/>
  <c r="C13" i="13"/>
  <c r="C14" i="13"/>
  <c r="F14" i="13" s="1"/>
  <c r="F15" i="13"/>
  <c r="F17" i="13"/>
  <c r="C9" i="13"/>
  <c r="C10" i="13"/>
  <c r="C11" i="13"/>
  <c r="F11" i="13" s="1"/>
  <c r="C12" i="13"/>
  <c r="F12" i="13" s="1"/>
  <c r="C5" i="13"/>
  <c r="F5" i="13" s="1"/>
  <c r="C6" i="13"/>
  <c r="F6" i="13" s="1"/>
  <c r="C7" i="13"/>
  <c r="F7" i="13" s="1"/>
  <c r="C8" i="13"/>
  <c r="F8" i="13" s="1"/>
  <c r="F9" i="13"/>
  <c r="F10" i="13"/>
  <c r="F13" i="13"/>
  <c r="F18" i="13"/>
  <c r="F20" i="13"/>
  <c r="F19" i="13"/>
  <c r="H1" i="9"/>
  <c r="H1" i="10"/>
  <c r="H1" i="11"/>
  <c r="C27" i="11"/>
  <c r="F25" i="11"/>
  <c r="F27" i="11"/>
  <c r="F28" i="11"/>
  <c r="C25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29" i="11"/>
  <c r="F30" i="11"/>
  <c r="C19" i="11"/>
  <c r="F19" i="11" s="1"/>
  <c r="C24" i="11"/>
  <c r="C14" i="11"/>
  <c r="F24" i="11"/>
  <c r="F14" i="11"/>
  <c r="C9" i="11"/>
  <c r="F9" i="11" s="1"/>
  <c r="C13" i="10"/>
  <c r="C14" i="10"/>
  <c r="C15" i="10"/>
  <c r="C16" i="10"/>
  <c r="F16" i="10" s="1"/>
  <c r="C17" i="10"/>
  <c r="F17" i="10" s="1"/>
  <c r="C18" i="10"/>
  <c r="F18" i="10" s="1"/>
  <c r="C19" i="10"/>
  <c r="F19" i="10" s="1"/>
  <c r="C20" i="10"/>
  <c r="F20" i="10" s="1"/>
  <c r="C21" i="10"/>
  <c r="F21" i="10" s="1"/>
  <c r="C22" i="10"/>
  <c r="F22" i="10" s="1"/>
  <c r="C23" i="10"/>
  <c r="F23" i="10" s="1"/>
  <c r="C24" i="10"/>
  <c r="F24" i="10" s="1"/>
  <c r="C12" i="10"/>
  <c r="F12" i="10"/>
  <c r="C9" i="10"/>
  <c r="C10" i="10"/>
  <c r="C11" i="10"/>
  <c r="F11" i="10" s="1"/>
  <c r="F15" i="10"/>
  <c r="F14" i="10"/>
  <c r="F13" i="10"/>
  <c r="F10" i="10"/>
  <c r="F9" i="10"/>
  <c r="C8" i="10"/>
  <c r="F8" i="10" s="1"/>
  <c r="C7" i="10"/>
  <c r="F7" i="10" s="1"/>
  <c r="C6" i="10"/>
  <c r="F6" i="10" s="1"/>
  <c r="C5" i="10"/>
  <c r="F5" i="10" s="1"/>
  <c r="C10" i="9"/>
  <c r="C11" i="9"/>
  <c r="C12" i="9"/>
  <c r="F12" i="9" s="1"/>
  <c r="C13" i="9"/>
  <c r="F13" i="9" s="1"/>
  <c r="C14" i="9"/>
  <c r="F14" i="9" s="1"/>
  <c r="C15" i="9"/>
  <c r="F15" i="9" s="1"/>
  <c r="C16" i="9"/>
  <c r="F16" i="9" s="1"/>
  <c r="C17" i="9"/>
  <c r="F17" i="9" s="1"/>
  <c r="C18" i="9"/>
  <c r="C19" i="9"/>
  <c r="C20" i="9"/>
  <c r="F20" i="9" s="1"/>
  <c r="C21" i="9"/>
  <c r="F21" i="9" s="1"/>
  <c r="C22" i="9"/>
  <c r="C23" i="9"/>
  <c r="F23" i="9" s="1"/>
  <c r="C24" i="9"/>
  <c r="F24" i="9" s="1"/>
  <c r="C9" i="9"/>
  <c r="F9" i="9" s="1"/>
  <c r="C6" i="9"/>
  <c r="C7" i="9"/>
  <c r="C8" i="9"/>
  <c r="F10" i="9"/>
  <c r="C5" i="9"/>
  <c r="F5" i="9" s="1"/>
  <c r="C9" i="7"/>
  <c r="C10" i="7"/>
  <c r="F7" i="7"/>
  <c r="F8" i="7"/>
  <c r="F9" i="7"/>
  <c r="F22" i="9"/>
  <c r="F19" i="9"/>
  <c r="F18" i="9"/>
  <c r="F11" i="9"/>
  <c r="F8" i="9"/>
  <c r="F7" i="9"/>
  <c r="F6" i="9"/>
  <c r="F6" i="7"/>
  <c r="F10" i="7"/>
  <c r="F11" i="7"/>
  <c r="F12" i="7"/>
  <c r="F13" i="7"/>
  <c r="F14" i="7"/>
  <c r="F20" i="7"/>
  <c r="F21" i="7"/>
  <c r="F22" i="7"/>
  <c r="F23" i="7"/>
  <c r="F24" i="7"/>
  <c r="F5" i="7"/>
  <c r="C12" i="7"/>
  <c r="C13" i="7"/>
  <c r="C14" i="7"/>
  <c r="C15" i="7"/>
  <c r="F15" i="7" s="1"/>
  <c r="C16" i="7"/>
  <c r="F16" i="7" s="1"/>
  <c r="C17" i="7"/>
  <c r="F17" i="7" s="1"/>
  <c r="C18" i="7"/>
  <c r="F18" i="7" s="1"/>
  <c r="C19" i="7"/>
  <c r="F19" i="7" s="1"/>
  <c r="F10" i="5"/>
  <c r="F30" i="5"/>
  <c r="F6" i="5"/>
  <c r="F7" i="5"/>
  <c r="F8" i="5"/>
  <c r="F9" i="5"/>
  <c r="F31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5" i="5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22" i="4"/>
  <c r="F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22" i="4"/>
  <c r="F28" i="4"/>
  <c r="F29" i="4"/>
  <c r="F30" i="4"/>
  <c r="F35" i="4"/>
  <c r="F38" i="4"/>
  <c r="F43" i="4"/>
  <c r="F23" i="4"/>
  <c r="F24" i="4"/>
  <c r="F25" i="4"/>
  <c r="F26" i="4"/>
  <c r="F27" i="4"/>
  <c r="F31" i="4"/>
  <c r="F32" i="4"/>
  <c r="F33" i="4"/>
  <c r="F34" i="4"/>
  <c r="F36" i="4"/>
  <c r="F37" i="4"/>
  <c r="F39" i="4"/>
  <c r="F40" i="4"/>
  <c r="F41" i="4"/>
  <c r="F42" i="4"/>
  <c r="F44" i="4"/>
  <c r="F45" i="4"/>
  <c r="G31" i="4"/>
  <c r="G32" i="4"/>
  <c r="G33" i="4"/>
  <c r="G34" i="4"/>
  <c r="G35" i="4"/>
  <c r="G36" i="4"/>
  <c r="G37" i="4"/>
  <c r="G38" i="4"/>
  <c r="G39" i="4"/>
  <c r="G40" i="4"/>
  <c r="G41" i="4"/>
  <c r="G30" i="4"/>
  <c r="G29" i="4"/>
  <c r="G28" i="4"/>
  <c r="G27" i="4"/>
  <c r="G26" i="4"/>
  <c r="G25" i="4"/>
  <c r="G24" i="4"/>
  <c r="G23" i="4"/>
  <c r="G22" i="4"/>
  <c r="E2" i="4"/>
  <c r="E4" i="4"/>
  <c r="E5" i="4"/>
  <c r="E6" i="4"/>
  <c r="E7" i="4"/>
  <c r="E8" i="4"/>
  <c r="E9" i="4"/>
  <c r="E10" i="4"/>
  <c r="E3" i="4"/>
  <c r="F3" i="4"/>
  <c r="F4" i="4"/>
  <c r="F5" i="4"/>
  <c r="F6" i="4"/>
  <c r="F7" i="4"/>
  <c r="F8" i="4"/>
  <c r="F9" i="4"/>
  <c r="F10" i="4"/>
  <c r="F2" i="4"/>
  <c r="F2" i="3"/>
</calcChain>
</file>

<file path=xl/sharedStrings.xml><?xml version="1.0" encoding="utf-8"?>
<sst xmlns="http://schemas.openxmlformats.org/spreadsheetml/2006/main" count="169" uniqueCount="48">
  <si>
    <t>repetition time</t>
  </si>
  <si>
    <t>quantity</t>
  </si>
  <si>
    <t>unit</t>
  </si>
  <si>
    <t>value</t>
  </si>
  <si>
    <t>s</t>
  </si>
  <si>
    <t>x</t>
  </si>
  <si>
    <t>y</t>
  </si>
  <si>
    <t>y=18</t>
  </si>
  <si>
    <t>x=-1</t>
  </si>
  <si>
    <t>V/mV</t>
  </si>
  <si>
    <t>delta V/mV</t>
  </si>
  <si>
    <t>V/V</t>
  </si>
  <si>
    <t>y=3</t>
  </si>
  <si>
    <t>M_0</t>
  </si>
  <si>
    <t>f:15.35139</t>
  </si>
  <si>
    <t xml:space="preserve">delta </t>
  </si>
  <si>
    <t>Mz</t>
  </si>
  <si>
    <t>delta M0</t>
  </si>
  <si>
    <t>M0 （mV)</t>
  </si>
  <si>
    <t>delta V</t>
  </si>
  <si>
    <t>V (mV)</t>
  </si>
  <si>
    <t>tau(ms)</t>
  </si>
  <si>
    <t>delta V (mV)</t>
  </si>
  <si>
    <t>negative V</t>
  </si>
  <si>
    <t>real y</t>
  </si>
  <si>
    <t>dalta tau</t>
  </si>
  <si>
    <t>====================================================================================================</t>
  </si>
  <si>
    <t>SUMMARY OF ALL FITS</t>
  </si>
  <si>
    <t xml:space="preserve">Filename                                 M0 (V)          T2 (ms)                       </t>
  </si>
  <si>
    <t>----------------------------------------------------------------------------------------------------</t>
  </si>
  <si>
    <t xml:space="preserve">T2_tau=10ms_07.csv                       3.889953        109.7700 ± 3.0207             </t>
  </si>
  <si>
    <t xml:space="preserve">T2_tau=5ms_2.csv                         3.929375        111.0494 ± 2.5285             </t>
  </si>
  <si>
    <t xml:space="preserve">T2_tau=1ms_3.csv                         4.151335        106.2485 ± 1.2302             </t>
  </si>
  <si>
    <t xml:space="preserve">T2_tau=3.5ms.csv                         3.847742        116.2550 ± 2.2215             </t>
  </si>
  <si>
    <t xml:space="preserve">T2_tau=5.5ms_5.csv                       3.974030        102.7571 ± 2.4588             </t>
  </si>
  <si>
    <t xml:space="preserve">T2_tau=0.7ms.csv                         4.171394        107.8049 ± 1.3189             </t>
  </si>
  <si>
    <t xml:space="preserve">T2_tau=10ms_07.csv                       3.557141        119.6783 ± 5.5973             </t>
  </si>
  <si>
    <t xml:space="preserve">T2_tau=5ms_2.csv                         3.750668        116.4481 ± 3.7399             </t>
  </si>
  <si>
    <t xml:space="preserve">T2_tau=1ms_3.csv                         4.111818        107.4947 ± 1.3530             </t>
  </si>
  <si>
    <t xml:space="preserve">T2_tau=3.5ms.csv                         3.644430        123.0244 ± 2.9988             </t>
  </si>
  <si>
    <t xml:space="preserve">T2_tau=5.5ms_5.csv                       3.875654        105.2956 ± 3.6774             </t>
  </si>
  <si>
    <t xml:space="preserve">T2_tau=0.7ms.csv                         4.137571        109.1346 ± 1.4410 </t>
  </si>
  <si>
    <t>2s</t>
  </si>
  <si>
    <t>T1</t>
  </si>
  <si>
    <t>.</t>
  </si>
  <si>
    <t>T=50</t>
  </si>
  <si>
    <t>conc=100</t>
  </si>
  <si>
    <t>0.1s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</si>
</sst>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quotePrefix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 vs t log</a:t>
            </a:r>
            <a:r>
              <a:rPr lang="en-GB" baseline="0"/>
              <a:t> plot</a:t>
            </a:r>
            <a:endParaRPr lang="en-GB"/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8352496532680038E-2"/>
          <c:y val="3.0029258676379251E-2"/>
          <c:w val="0.86476008098981294"/>
          <c:h val="0.717401965947573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174860266702237"/>
                  <c:y val="8.68795146484439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rough_T1!$A$22:$A$43</c:f>
              <c:numCache>
                <c:formatCode>0.00_ 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50</c:v>
                </c:pt>
              </c:numCache>
            </c:numRef>
          </c:xVal>
          <c:yVal>
            <c:numRef>
              <c:f>rough_T1!$E$22:$E$43</c:f>
              <c:numCache>
                <c:formatCode>General</c:formatCode>
                <c:ptCount val="22"/>
                <c:pt idx="0">
                  <c:v>3.5531428378485538E-2</c:v>
                </c:pt>
                <c:pt idx="1">
                  <c:v>4.7302564828696575E-2</c:v>
                </c:pt>
                <c:pt idx="2">
                  <c:v>6.1394938968404769E-2</c:v>
                </c:pt>
                <c:pt idx="3">
                  <c:v>7.0166925041241876E-2</c:v>
                </c:pt>
                <c:pt idx="4">
                  <c:v>8.4587585367679741E-2</c:v>
                </c:pt>
                <c:pt idx="5">
                  <c:v>9.6954241004891639E-2</c:v>
                </c:pt>
                <c:pt idx="6">
                  <c:v>0.10604521270614366</c:v>
                </c:pt>
                <c:pt idx="7">
                  <c:v>0.1244789143949817</c:v>
                </c:pt>
                <c:pt idx="8">
                  <c:v>0.13382477681321939</c:v>
                </c:pt>
                <c:pt idx="9">
                  <c:v>0.1432588090465779</c:v>
                </c:pt>
                <c:pt idx="10">
                  <c:v>0.16239814925727533</c:v>
                </c:pt>
                <c:pt idx="11">
                  <c:v>0.17210696338423639</c:v>
                </c:pt>
                <c:pt idx="12">
                  <c:v>0.17945093763999478</c:v>
                </c:pt>
                <c:pt idx="13">
                  <c:v>0.1905690262239717</c:v>
                </c:pt>
                <c:pt idx="14">
                  <c:v>0.20055662485232006</c:v>
                </c:pt>
                <c:pt idx="15">
                  <c:v>0.21318305522513187</c:v>
                </c:pt>
                <c:pt idx="16">
                  <c:v>0.22211738395889769</c:v>
                </c:pt>
                <c:pt idx="17">
                  <c:v>0.23372293007920561</c:v>
                </c:pt>
                <c:pt idx="18">
                  <c:v>0.24153546981599919</c:v>
                </c:pt>
                <c:pt idx="19">
                  <c:v>0.35199246538030987</c:v>
                </c:pt>
                <c:pt idx="20">
                  <c:v>0.45654227973714723</c:v>
                </c:pt>
                <c:pt idx="21">
                  <c:v>0.55705234126122416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4-614E-B811-E0F650DC2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2816"/>
        <c:axId val="683564528"/>
      </c:scatterChart>
      <c:valAx>
        <c:axId val="6835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64528"/>
        <c:crosses val="autoZero"/>
        <c:crossBetween val="midCat"/>
      </c:valAx>
      <c:valAx>
        <c:axId val="6835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6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 vs</a:t>
            </a:r>
            <a:r>
              <a:rPr lang="en-GB" baseline="0"/>
              <a:t> 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7369641756703628E-2"/>
          <c:y val="0.19755677591102566"/>
          <c:w val="0.86476008098981294"/>
          <c:h val="0.717401965947573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rough_T1!$A$22:$A$43</c:f>
              <c:numCache>
                <c:formatCode>0.00_ 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50</c:v>
                </c:pt>
              </c:numCache>
            </c:numRef>
          </c:xVal>
          <c:yVal>
            <c:numRef>
              <c:f>rough_T1!$D$22:$D$43</c:f>
              <c:numCache>
                <c:formatCode>General</c:formatCode>
                <c:ptCount val="22"/>
                <c:pt idx="0">
                  <c:v>-4530</c:v>
                </c:pt>
                <c:pt idx="1">
                  <c:v>-4420</c:v>
                </c:pt>
                <c:pt idx="2">
                  <c:v>-4290</c:v>
                </c:pt>
                <c:pt idx="3">
                  <c:v>-4210</c:v>
                </c:pt>
                <c:pt idx="4">
                  <c:v>-4080</c:v>
                </c:pt>
                <c:pt idx="5">
                  <c:v>-3970</c:v>
                </c:pt>
                <c:pt idx="6">
                  <c:v>-3890</c:v>
                </c:pt>
                <c:pt idx="7">
                  <c:v>-3730</c:v>
                </c:pt>
                <c:pt idx="8">
                  <c:v>-3650</c:v>
                </c:pt>
                <c:pt idx="9">
                  <c:v>-3570</c:v>
                </c:pt>
                <c:pt idx="10">
                  <c:v>-3410</c:v>
                </c:pt>
                <c:pt idx="11">
                  <c:v>-3330</c:v>
                </c:pt>
                <c:pt idx="12">
                  <c:v>-3270</c:v>
                </c:pt>
                <c:pt idx="13">
                  <c:v>-3180</c:v>
                </c:pt>
                <c:pt idx="14">
                  <c:v>-3100</c:v>
                </c:pt>
                <c:pt idx="15">
                  <c:v>-3000</c:v>
                </c:pt>
                <c:pt idx="16">
                  <c:v>-2930</c:v>
                </c:pt>
                <c:pt idx="17">
                  <c:v>-2840</c:v>
                </c:pt>
                <c:pt idx="18">
                  <c:v>-2780</c:v>
                </c:pt>
                <c:pt idx="19">
                  <c:v>-1980</c:v>
                </c:pt>
                <c:pt idx="20">
                  <c:v>-1300</c:v>
                </c:pt>
                <c:pt idx="21">
                  <c:v>-710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E-6042-9DD7-5542C19A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2816"/>
        <c:axId val="683564528"/>
      </c:scatterChart>
      <c:valAx>
        <c:axId val="6835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64528"/>
        <c:crosses val="autoZero"/>
        <c:crossBetween val="midCat"/>
      </c:valAx>
      <c:valAx>
        <c:axId val="6835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6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proper_T1!$A$5:$A$25</c:f>
              <c:numCache>
                <c:formatCode>0.00_ 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proper_T1!$F$5:$F$25</c:f>
              <c:numCache>
                <c:formatCode>General</c:formatCode>
                <c:ptCount val="21"/>
                <c:pt idx="0">
                  <c:v>0.12636290314591</c:v>
                </c:pt>
                <c:pt idx="1">
                  <c:v>0.23854938387413627</c:v>
                </c:pt>
                <c:pt idx="2">
                  <c:v>0.34272676747474101</c:v>
                </c:pt>
                <c:pt idx="3">
                  <c:v>0.44583756339855191</c:v>
                </c:pt>
                <c:pt idx="4">
                  <c:v>0.54414849564211509</c:v>
                </c:pt>
                <c:pt idx="5">
                  <c:v>0.59609446056300497</c:v>
                </c:pt>
                <c:pt idx="8">
                  <c:v>0.83735544402586592</c:v>
                </c:pt>
                <c:pt idx="9">
                  <c:v>0.92714074789822087</c:v>
                </c:pt>
                <c:pt idx="10">
                  <c:v>1.0158063849838772</c:v>
                </c:pt>
                <c:pt idx="11">
                  <c:v>1.1022158961714084</c:v>
                </c:pt>
                <c:pt idx="12">
                  <c:v>1.1849698572003207</c:v>
                </c:pt>
                <c:pt idx="13">
                  <c:v>1.2751949487930461</c:v>
                </c:pt>
                <c:pt idx="14">
                  <c:v>1.3509549946745818</c:v>
                </c:pt>
                <c:pt idx="15">
                  <c:v>1.4229284942996709</c:v>
                </c:pt>
                <c:pt idx="16">
                  <c:v>1.4844863872991045</c:v>
                </c:pt>
                <c:pt idx="17">
                  <c:v>1.5729418078609678</c:v>
                </c:pt>
                <c:pt idx="18">
                  <c:v>1.6294204120214386</c:v>
                </c:pt>
                <c:pt idx="19">
                  <c:v>1.7089535655438226</c:v>
                </c:pt>
                <c:pt idx="20">
                  <c:v>1.7774735119805785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4-174A-B7D4-4A9948A88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49648"/>
        <c:axId val="607078944"/>
      </c:scatterChart>
      <c:valAx>
        <c:axId val="74844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78944"/>
        <c:crosses val="autoZero"/>
        <c:crossBetween val="midCat"/>
      </c:valAx>
      <c:valAx>
        <c:axId val="6070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4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'Mineral Oil'!$A$5:$A$24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'Mineral Oil'!$F$5:$F$24</c:f>
              <c:numCache>
                <c:formatCode>General</c:formatCode>
                <c:ptCount val="20"/>
                <c:pt idx="0">
                  <c:v>0.11801001672189923</c:v>
                </c:pt>
                <c:pt idx="1">
                  <c:v>0.21722534431021751</c:v>
                </c:pt>
                <c:pt idx="2">
                  <c:v>0.31486381387413348</c:v>
                </c:pt>
                <c:pt idx="3">
                  <c:v>0.41184013407710968</c:v>
                </c:pt>
                <c:pt idx="4">
                  <c:v>0.50017490951645416</c:v>
                </c:pt>
                <c:pt idx="5">
                  <c:v>0.57300813910175052</c:v>
                </c:pt>
                <c:pt idx="6">
                  <c:v>0.78678278559393799</c:v>
                </c:pt>
                <c:pt idx="7">
                  <c:v>0.79293665116831613</c:v>
                </c:pt>
                <c:pt idx="8">
                  <c:v>0.88095863966386956</c:v>
                </c:pt>
                <c:pt idx="9">
                  <c:v>0.96640859268528823</c:v>
                </c:pt>
                <c:pt idx="10">
                  <c:v>1.0490243582018801</c:v>
                </c:pt>
                <c:pt idx="11">
                  <c:v>1.1243599268760816</c:v>
                </c:pt>
                <c:pt idx="12">
                  <c:v>1.2109805414833406</c:v>
                </c:pt>
                <c:pt idx="13">
                  <c:v>1.2996554929816535</c:v>
                </c:pt>
                <c:pt idx="14">
                  <c:v>1.3614654994660207</c:v>
                </c:pt>
                <c:pt idx="15">
                  <c:v>1.4515034981314825</c:v>
                </c:pt>
                <c:pt idx="16">
                  <c:v>1.5110851339336788</c:v>
                </c:pt>
                <c:pt idx="17">
                  <c:v>1.5764678931965306</c:v>
                </c:pt>
                <c:pt idx="18">
                  <c:v>1.6610252812245936</c:v>
                </c:pt>
                <c:pt idx="19">
                  <c:v>1.7216499030410286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C-9B4A-BC21-E9F4A58FD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Gly_90!$F$5:$F$24</c:f>
              <c:numCache>
                <c:formatCode>General</c:formatCode>
                <c:ptCount val="20"/>
                <c:pt idx="0">
                  <c:v>0.15408209507362217</c:v>
                </c:pt>
                <c:pt idx="1">
                  <c:v>0.32087435393672387</c:v>
                </c:pt>
                <c:pt idx="2">
                  <c:v>0.46589684729308217</c:v>
                </c:pt>
                <c:pt idx="3">
                  <c:v>0.60950223181226881</c:v>
                </c:pt>
                <c:pt idx="4">
                  <c:v>0.79713689408399291</c:v>
                </c:pt>
                <c:pt idx="5">
                  <c:v>0.95510000704590725</c:v>
                </c:pt>
                <c:pt idx="6">
                  <c:v>1.0973784822191812</c:v>
                </c:pt>
                <c:pt idx="7">
                  <c:v>1.2720842301850819</c:v>
                </c:pt>
                <c:pt idx="8">
                  <c:v>1.4206217165064976</c:v>
                </c:pt>
                <c:pt idx="9">
                  <c:v>1.5553706911638245</c:v>
                </c:pt>
                <c:pt idx="10">
                  <c:v>1.7157133412390038</c:v>
                </c:pt>
                <c:pt idx="11">
                  <c:v>1.8687205103641833</c:v>
                </c:pt>
                <c:pt idx="12">
                  <c:v>2.0056863654373407</c:v>
                </c:pt>
                <c:pt idx="13">
                  <c:v>2.1361643205749732</c:v>
                </c:pt>
                <c:pt idx="14">
                  <c:v>2.2862581997066171</c:v>
                </c:pt>
                <c:pt idx="15">
                  <c:v>2.4629277430692249</c:v>
                </c:pt>
                <c:pt idx="16">
                  <c:v>2.5861603834931737</c:v>
                </c:pt>
                <c:pt idx="17">
                  <c:v>2.6776527239178396</c:v>
                </c:pt>
                <c:pt idx="18">
                  <c:v>2.8903717578961641</c:v>
                </c:pt>
                <c:pt idx="19">
                  <c:v>3.0165230432230645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4-C14A-9091-7D38D160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Gly_75!$A$5:$A$24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Gly_75!$F$5:$F$24</c:f>
              <c:numCache>
                <c:formatCode>General</c:formatCode>
                <c:ptCount val="20"/>
                <c:pt idx="0">
                  <c:v>0.10744788781874919</c:v>
                </c:pt>
                <c:pt idx="1">
                  <c:v>0.20003789006591105</c:v>
                </c:pt>
                <c:pt idx="2">
                  <c:v>0.29449701991788524</c:v>
                </c:pt>
                <c:pt idx="3">
                  <c:v>0.38424415262527895</c:v>
                </c:pt>
                <c:pt idx="4">
                  <c:v>0.47484104797750565</c:v>
                </c:pt>
                <c:pt idx="5">
                  <c:v>0.5638135944523589</c:v>
                </c:pt>
                <c:pt idx="6">
                  <c:v>0.61207386370521455</c:v>
                </c:pt>
                <c:pt idx="7">
                  <c:v>0.78284312292024416</c:v>
                </c:pt>
                <c:pt idx="8">
                  <c:v>0.87976750807911008</c:v>
                </c:pt>
                <c:pt idx="9">
                  <c:v>0.97281852926564716</c:v>
                </c:pt>
                <c:pt idx="10">
                  <c:v>1.0617660152821433</c:v>
                </c:pt>
                <c:pt idx="11">
                  <c:v>1.1583366790852292</c:v>
                </c:pt>
                <c:pt idx="12">
                  <c:v>1.2464158618356891</c:v>
                </c:pt>
                <c:pt idx="13">
                  <c:v>1.34429343714526</c:v>
                </c:pt>
                <c:pt idx="14">
                  <c:v>1.427339794363006</c:v>
                </c:pt>
                <c:pt idx="15">
                  <c:v>1.5209753993969986</c:v>
                </c:pt>
                <c:pt idx="16">
                  <c:v>1.6242930134250244</c:v>
                </c:pt>
                <c:pt idx="17">
                  <c:v>1.713161401161867</c:v>
                </c:pt>
                <c:pt idx="18">
                  <c:v>1.8005107872809611</c:v>
                </c:pt>
                <c:pt idx="19">
                  <c:v>1.8697934718405109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74-C144-84DD-B6CE7A26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Gly_50!$A$5:$A$34</c:f>
              <c:numCache>
                <c:formatCode>0.00_ </c:formatCode>
                <c:ptCount val="30"/>
                <c:pt idx="4">
                  <c:v>50</c:v>
                </c:pt>
                <c:pt idx="9">
                  <c:v>100</c:v>
                </c:pt>
                <c:pt idx="14">
                  <c:v>150</c:v>
                </c:pt>
                <c:pt idx="19">
                  <c:v>200</c:v>
                </c:pt>
                <c:pt idx="22">
                  <c:v>300</c:v>
                </c:pt>
                <c:pt idx="24">
                  <c:v>350</c:v>
                </c:pt>
                <c:pt idx="25">
                  <c:v>450</c:v>
                </c:pt>
                <c:pt idx="26">
                  <c:v>550</c:v>
                </c:pt>
                <c:pt idx="27">
                  <c:v>650</c:v>
                </c:pt>
                <c:pt idx="28">
                  <c:v>750</c:v>
                </c:pt>
              </c:numCache>
            </c:numRef>
          </c:xVal>
          <c:yVal>
            <c:numRef>
              <c:f>Gly_50!$F$5:$F$34</c:f>
              <c:numCache>
                <c:formatCode>General</c:formatCode>
                <c:ptCount val="30"/>
                <c:pt idx="4">
                  <c:v>0.15209799350951617</c:v>
                </c:pt>
                <c:pt idx="9">
                  <c:v>0.28312625591592017</c:v>
                </c:pt>
                <c:pt idx="14">
                  <c:v>0.41199321924908777</c:v>
                </c:pt>
                <c:pt idx="19">
                  <c:v>0.50626980723013004</c:v>
                </c:pt>
                <c:pt idx="20">
                  <c:v>0.69314718055994529</c:v>
                </c:pt>
                <c:pt idx="22">
                  <c:v>0.85164519591492904</c:v>
                </c:pt>
                <c:pt idx="23">
                  <c:v>0.69314718055994529</c:v>
                </c:pt>
                <c:pt idx="24">
                  <c:v>0.98540592003913807</c:v>
                </c:pt>
                <c:pt idx="25">
                  <c:v>1.2603257408770678</c:v>
                </c:pt>
                <c:pt idx="26">
                  <c:v>1.5272899408251015</c:v>
                </c:pt>
                <c:pt idx="27">
                  <c:v>1.8055527913603908</c:v>
                </c:pt>
                <c:pt idx="28">
                  <c:v>2.0712559570933968</c:v>
                </c:pt>
                <c:pt idx="29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F-0F44-90AD-A3981F8ED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Gly_3.05!$A$5:$A$24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2800</c:v>
                </c:pt>
                <c:pt idx="10">
                  <c:v>3100</c:v>
                </c:pt>
              </c:numCache>
            </c:numRef>
          </c:xVal>
          <c:yVal>
            <c:numRef>
              <c:f>Gly_3.05!$F$5:$F$24</c:f>
              <c:numCache>
                <c:formatCode>General</c:formatCode>
                <c:ptCount val="20"/>
                <c:pt idx="0">
                  <c:v>8.7287734598131841E-2</c:v>
                </c:pt>
                <c:pt idx="1">
                  <c:v>0.21444291008337835</c:v>
                </c:pt>
                <c:pt idx="2">
                  <c:v>0.34180558259657551</c:v>
                </c:pt>
                <c:pt idx="3">
                  <c:v>0.45611870952651573</c:v>
                </c:pt>
                <c:pt idx="4">
                  <c:v>0.54995515566607445</c:v>
                </c:pt>
                <c:pt idx="5">
                  <c:v>0.76072984407874467</c:v>
                </c:pt>
                <c:pt idx="6">
                  <c:v>0.90646078504617222</c:v>
                </c:pt>
                <c:pt idx="7">
                  <c:v>1.0511256224021219</c:v>
                </c:pt>
                <c:pt idx="8">
                  <c:v>1.1784650447787233</c:v>
                </c:pt>
                <c:pt idx="9">
                  <c:v>1.3272801896828355</c:v>
                </c:pt>
                <c:pt idx="10">
                  <c:v>1.4686193063758932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29-694B-85E9-45C8DBF2A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Gly_12.5!$A$5:$A$24</c:f>
              <c:numCache>
                <c:formatCode>0.00_ 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1600</c:v>
                </c:pt>
                <c:pt idx="17">
                  <c:v>1800</c:v>
                </c:pt>
                <c:pt idx="18">
                  <c:v>2000</c:v>
                </c:pt>
                <c:pt idx="19">
                  <c:v>2200</c:v>
                </c:pt>
              </c:numCache>
            </c:numRef>
          </c:xVal>
          <c:yVal>
            <c:numRef>
              <c:f>Gly_12.5!$F$5:$F$24</c:f>
              <c:numCache>
                <c:formatCode>General</c:formatCode>
                <c:ptCount val="20"/>
                <c:pt idx="0">
                  <c:v>8.5365827827785637E-2</c:v>
                </c:pt>
                <c:pt idx="1">
                  <c:v>0.11371523343705796</c:v>
                </c:pt>
                <c:pt idx="2">
                  <c:v>0.14988242659247833</c:v>
                </c:pt>
                <c:pt idx="3">
                  <c:v>0.17978853571822442</c:v>
                </c:pt>
                <c:pt idx="4">
                  <c:v>0.2552039703295686</c:v>
                </c:pt>
                <c:pt idx="5">
                  <c:v>0.31854808943487478</c:v>
                </c:pt>
                <c:pt idx="6">
                  <c:v>0.39510232107261772</c:v>
                </c:pt>
                <c:pt idx="7">
                  <c:v>0.43394659231450655</c:v>
                </c:pt>
                <c:pt idx="8">
                  <c:v>0.48044441851822456</c:v>
                </c:pt>
                <c:pt idx="9">
                  <c:v>0.51901120835243009</c:v>
                </c:pt>
                <c:pt idx="10">
                  <c:v>0.55780583269018325</c:v>
                </c:pt>
                <c:pt idx="11">
                  <c:v>0.7997833350493192</c:v>
                </c:pt>
                <c:pt idx="12">
                  <c:v>0.84267891453090904</c:v>
                </c:pt>
                <c:pt idx="13">
                  <c:v>0.92485690637955575</c:v>
                </c:pt>
                <c:pt idx="14">
                  <c:v>1.0071385098317225</c:v>
                </c:pt>
                <c:pt idx="15">
                  <c:v>1.1127516348305482</c:v>
                </c:pt>
                <c:pt idx="16">
                  <c:v>1.2962682094621709</c:v>
                </c:pt>
                <c:pt idx="17">
                  <c:v>1.3781752366813864</c:v>
                </c:pt>
                <c:pt idx="18">
                  <c:v>1.5624753893182415</c:v>
                </c:pt>
                <c:pt idx="19">
                  <c:v>1.7822935432391722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7-BA49-B211-0B9A4641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Gly_6.1!$A$5:$A$24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2800</c:v>
                </c:pt>
                <c:pt idx="10">
                  <c:v>3100</c:v>
                </c:pt>
              </c:numCache>
            </c:numRef>
          </c:xVal>
          <c:yVal>
            <c:numRef>
              <c:f>Gly_6.1!$F$5:$F$24</c:f>
              <c:numCache>
                <c:formatCode>General</c:formatCode>
                <c:ptCount val="20"/>
                <c:pt idx="0">
                  <c:v>0.1002454149910559</c:v>
                </c:pt>
                <c:pt idx="1">
                  <c:v>0.2825669717850105</c:v>
                </c:pt>
                <c:pt idx="2">
                  <c:v>0.45837914839344812</c:v>
                </c:pt>
                <c:pt idx="3">
                  <c:v>0.69314718055994529</c:v>
                </c:pt>
                <c:pt idx="4">
                  <c:v>0.69314718055994529</c:v>
                </c:pt>
                <c:pt idx="5">
                  <c:v>1.1887053321951475</c:v>
                </c:pt>
                <c:pt idx="6">
                  <c:v>1.5141277326297757</c:v>
                </c:pt>
                <c:pt idx="7">
                  <c:v>1.8325814637483102</c:v>
                </c:pt>
                <c:pt idx="8">
                  <c:v>2.3338376364981497</c:v>
                </c:pt>
                <c:pt idx="9">
                  <c:v>3.1447678527144789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D-7D44-B95E-AC44C2FD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Gly_1.5!$A$5:$A$24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2500</c:v>
                </c:pt>
                <c:pt idx="7">
                  <c:v>3100</c:v>
                </c:pt>
                <c:pt idx="8">
                  <c:v>4000</c:v>
                </c:pt>
              </c:numCache>
            </c:numRef>
          </c:xVal>
          <c:yVal>
            <c:numRef>
              <c:f>Gly_1.5!$F$5:$F$24</c:f>
              <c:numCache>
                <c:formatCode>General</c:formatCode>
                <c:ptCount val="20"/>
                <c:pt idx="0">
                  <c:v>4.0291182444167711E-2</c:v>
                </c:pt>
                <c:pt idx="1">
                  <c:v>0.16238534978388222</c:v>
                </c:pt>
                <c:pt idx="2">
                  <c:v>0.27456302070665917</c:v>
                </c:pt>
                <c:pt idx="3">
                  <c:v>0.37215040535466271</c:v>
                </c:pt>
                <c:pt idx="4">
                  <c:v>0.43251192797546412</c:v>
                </c:pt>
                <c:pt idx="5">
                  <c:v>0.64391252655540487</c:v>
                </c:pt>
                <c:pt idx="6">
                  <c:v>1.1610838079858279</c:v>
                </c:pt>
                <c:pt idx="7">
                  <c:v>1.4696649990717172</c:v>
                </c:pt>
                <c:pt idx="8">
                  <c:v>1.9191456212317157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7-6A48-8642-88A82154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'CuSO4_3.1'!$A$5:$A$22</c:f>
              <c:numCache>
                <c:formatCode>0.00_ 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'CuSO4_3.1'!$F$5:$F$22</c:f>
              <c:numCache>
                <c:formatCode>General</c:formatCode>
                <c:ptCount val="18"/>
                <c:pt idx="0">
                  <c:v>8.3056792998559878E-2</c:v>
                </c:pt>
                <c:pt idx="1">
                  <c:v>0.14732471475685843</c:v>
                </c:pt>
                <c:pt idx="2">
                  <c:v>0.20601218088248513</c:v>
                </c:pt>
                <c:pt idx="3">
                  <c:v>0.26835978579961928</c:v>
                </c:pt>
                <c:pt idx="4">
                  <c:v>0.32618905116695529</c:v>
                </c:pt>
                <c:pt idx="5">
                  <c:v>0.3784364357202451</c:v>
                </c:pt>
                <c:pt idx="6">
                  <c:v>0.44418781328302553</c:v>
                </c:pt>
                <c:pt idx="7">
                  <c:v>0.51144848270858145</c:v>
                </c:pt>
                <c:pt idx="8">
                  <c:v>0.58691531363020788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7-7243-8618-AF99CE84C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'Gly_100_T=50'!$A$5:$A$14</c:f>
              <c:numCache>
                <c:formatCode>0.00_ 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70</c:v>
                </c:pt>
                <c:pt idx="3">
                  <c:v>90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'Gly_100_T=50'!$F$5:$F$14</c:f>
              <c:numCache>
                <c:formatCode>General</c:formatCode>
                <c:ptCount val="10"/>
                <c:pt idx="0">
                  <c:v>0.15420473767998541</c:v>
                </c:pt>
                <c:pt idx="1">
                  <c:v>0.40608154092839804</c:v>
                </c:pt>
                <c:pt idx="2">
                  <c:v>1.03065783887364</c:v>
                </c:pt>
                <c:pt idx="3">
                  <c:v>1.2282222527167213</c:v>
                </c:pt>
                <c:pt idx="4">
                  <c:v>1.3579000760252538</c:v>
                </c:pt>
                <c:pt idx="5">
                  <c:v>1.9165075452465596</c:v>
                </c:pt>
                <c:pt idx="6">
                  <c:v>1.9896663004329496</c:v>
                </c:pt>
                <c:pt idx="7">
                  <c:v>2.3932356733762146</c:v>
                </c:pt>
                <c:pt idx="8">
                  <c:v>2.6017495462993918</c:v>
                </c:pt>
                <c:pt idx="9">
                  <c:v>3.5563864831818957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9-9348-A508-81C3F704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'CuSO4_1.5_T=50'!$A$5:$A$15</c:f>
              <c:numCache>
                <c:formatCode>0.00_ 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120</c:v>
                </c:pt>
              </c:numCache>
            </c:numRef>
          </c:xVal>
          <c:yVal>
            <c:numRef>
              <c:f>'CuSO4_1.5_T=50'!$F$5:$F$15</c:f>
              <c:numCache>
                <c:formatCode>General</c:formatCode>
                <c:ptCount val="11"/>
                <c:pt idx="0">
                  <c:v>7.1862742321916265E-2</c:v>
                </c:pt>
                <c:pt idx="1">
                  <c:v>0.1075273637429167</c:v>
                </c:pt>
                <c:pt idx="2">
                  <c:v>0.15112495891072139</c:v>
                </c:pt>
                <c:pt idx="3">
                  <c:v>0.19665383056630123</c:v>
                </c:pt>
                <c:pt idx="4">
                  <c:v>0.24382202587454307</c:v>
                </c:pt>
                <c:pt idx="5">
                  <c:v>0.53397335732208506</c:v>
                </c:pt>
                <c:pt idx="6">
                  <c:v>1.0192834078504962</c:v>
                </c:pt>
                <c:pt idx="7">
                  <c:v>1.6246268947096623</c:v>
                </c:pt>
                <c:pt idx="8">
                  <c:v>2.0906356884229886</c:v>
                </c:pt>
                <c:pt idx="9">
                  <c:v>2.7947243099604808</c:v>
                </c:pt>
                <c:pt idx="10">
                  <c:v>3.2333586755385717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C-7440-A3D2-598AD032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60311</xdr:colOff>
      <xdr:row>32</xdr:row>
      <xdr:rowOff>49884</xdr:rowOff>
    </xdr:from>
    <xdr:to>
      <xdr:col>12</xdr:col>
      <xdr:colOff>782321</xdr:colOff>
      <xdr:row>45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4DF0F-BEE2-E359-F8C9-FD62BFAF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784440</xdr:colOff>
      <xdr:row>12</xdr:row>
      <xdr:rowOff>152740</xdr:rowOff>
    </xdr:from>
    <xdr:to>
      <xdr:col>13</xdr:col>
      <xdr:colOff>378630</xdr:colOff>
      <xdr:row>26</xdr:row>
      <xdr:rowOff>50081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EF4B0-76E5-1E43-AA26-5773042C0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535170</xdr:colOff>
      <xdr:row>3</xdr:row>
      <xdr:rowOff>187095</xdr:rowOff>
    </xdr:from>
    <xdr:to>
      <xdr:col>12</xdr:col>
      <xdr:colOff>144159</xdr:colOff>
      <xdr:row>16</xdr:row>
      <xdr:rowOff>101127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C5459-C3B0-BE01-2B09-920BEF0CA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D7D04-E138-BFE2-17BB-3F8906F7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1DE28-87CD-5B44-A061-F62F0CE6E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32C0F-039C-3D42-9E0A-89B83AD25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6911-D4A5-E24E-A05B-9B288A27E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AA809-AB19-DB41-9B95-6EF119B3F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5FCF9-DBC6-C143-92F2-637172356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095A2-4984-F642-B59E-C15C85CDC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5DCCA-73B6-CA4E-936E-1266C640C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16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79AB8-C01B-F94A-80BE-4F0CA89BA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94902</xdr:colOff>
      <xdr:row>4</xdr:row>
      <xdr:rowOff>206239</xdr:rowOff>
    </xdr:from>
    <xdr:to>
      <xdr:col>12</xdr:col>
      <xdr:colOff>130257</xdr:colOff>
      <xdr:row>19</xdr:row>
      <xdr:rowOff>43418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62373-4660-8545-A7EB-47FAC2D14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0</xdr:rowOff>
    </xdr:from>
    <xdr:to>
      <xdr:col>11</xdr:col>
      <xdr:colOff>785678</xdr:colOff>
      <xdr:row>16</xdr:row>
      <xdr:rowOff>182967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23CBE-74DD-034B-AC59-0CBBA7515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E6E5-7EB7-EC44-A8AE-57E4A888C099}">
  <sheetPr codeName="Sheet1"/>
  <dimension ref="A1:C2"/>
  <sheetViews>
    <sheetView zoomScale="183" workbookViewId="0">
      <selection activeCell="A5" sqref="A5"/>
    </sheetView>
  </sheetViews>
  <sheetFormatPr baseColWidth="10" defaultRowHeight="16" x14ac:dyDescent="0.2"/>
  <cols>
    <col min="1" max="1" width="18.332031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 t="s">
        <v>4</v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CF07-B930-914C-B38C-9F2B7E3C7B9F}">
  <sheetPr codeName="Sheet2"/>
  <dimension ref="A1:E21"/>
  <sheetViews>
    <sheetView topLeftCell="A2" zoomScale="215" workbookViewId="0">
      <selection activeCell="C3" sqref="C3"/>
    </sheetView>
  </sheetViews>
  <sheetFormatPr baseColWidth="10" defaultRowHeight="16" x14ac:dyDescent="0.2"/>
  <sheetData>
    <row r="1" spans="1:5" x14ac:dyDescent="0.2">
      <c r="A1" t="s">
        <v>7</v>
      </c>
      <c r="C1">
        <v>1</v>
      </c>
      <c r="E1" t="s">
        <v>8</v>
      </c>
    </row>
    <row r="2" spans="1:5" x14ac:dyDescent="0.2">
      <c r="A2" t="s">
        <v>5</v>
      </c>
      <c r="B2" t="s">
        <v>9</v>
      </c>
      <c r="C2" t="s">
        <v>10</v>
      </c>
      <c r="E2" t="s">
        <v>12</v>
      </c>
    </row>
    <row r="3" spans="1:5" x14ac:dyDescent="0.2">
      <c r="A3" s="1">
        <v>-1.2</v>
      </c>
      <c r="B3">
        <v>530</v>
      </c>
      <c r="C3">
        <v>3</v>
      </c>
    </row>
    <row r="4" spans="1:5" x14ac:dyDescent="0.2">
      <c r="A4" s="1">
        <v>-1.1000000000000001</v>
      </c>
      <c r="B4">
        <v>535</v>
      </c>
      <c r="C4">
        <v>3</v>
      </c>
    </row>
    <row r="5" spans="1:5" x14ac:dyDescent="0.2">
      <c r="A5" s="1">
        <v>-1</v>
      </c>
      <c r="B5">
        <v>538</v>
      </c>
      <c r="C5">
        <v>3</v>
      </c>
    </row>
    <row r="6" spans="1:5" x14ac:dyDescent="0.2">
      <c r="A6" s="1">
        <v>-0.9</v>
      </c>
      <c r="B6">
        <v>536</v>
      </c>
      <c r="C6">
        <v>3</v>
      </c>
    </row>
    <row r="7" spans="1:5" x14ac:dyDescent="0.2">
      <c r="A7" s="1">
        <v>-0.80000000000000104</v>
      </c>
      <c r="B7">
        <v>533</v>
      </c>
      <c r="C7">
        <v>3</v>
      </c>
    </row>
    <row r="8" spans="1:5" x14ac:dyDescent="0.2">
      <c r="A8" s="1"/>
    </row>
    <row r="9" spans="1:5" x14ac:dyDescent="0.2">
      <c r="A9" s="1" t="s">
        <v>8</v>
      </c>
    </row>
    <row r="10" spans="1:5" x14ac:dyDescent="0.2">
      <c r="A10" s="1" t="s">
        <v>6</v>
      </c>
      <c r="B10" t="s">
        <v>11</v>
      </c>
      <c r="C10" t="s">
        <v>11</v>
      </c>
    </row>
    <row r="11" spans="1:5" x14ac:dyDescent="0.2">
      <c r="A11">
        <v>1</v>
      </c>
      <c r="B11">
        <v>3.6</v>
      </c>
      <c r="C11">
        <v>0.2</v>
      </c>
    </row>
    <row r="12" spans="1:5" x14ac:dyDescent="0.2">
      <c r="A12" s="1">
        <v>1.5</v>
      </c>
      <c r="B12">
        <v>3.64</v>
      </c>
      <c r="C12">
        <v>0.2</v>
      </c>
    </row>
    <row r="13" spans="1:5" x14ac:dyDescent="0.2">
      <c r="A13">
        <v>2</v>
      </c>
      <c r="B13">
        <v>3.64</v>
      </c>
      <c r="C13">
        <v>0.2</v>
      </c>
    </row>
    <row r="14" spans="1:5" x14ac:dyDescent="0.2">
      <c r="A14" s="1">
        <v>2.5</v>
      </c>
      <c r="B14">
        <v>3.66</v>
      </c>
      <c r="C14">
        <v>0.2</v>
      </c>
    </row>
    <row r="15" spans="1:5" x14ac:dyDescent="0.2">
      <c r="A15">
        <v>3</v>
      </c>
      <c r="B15">
        <v>3.66</v>
      </c>
      <c r="C15">
        <v>0.2</v>
      </c>
    </row>
    <row r="16" spans="1:5" x14ac:dyDescent="0.2">
      <c r="A16" s="1">
        <v>3.5</v>
      </c>
      <c r="B16">
        <v>3.66</v>
      </c>
      <c r="C16">
        <v>0.2</v>
      </c>
    </row>
    <row r="17" spans="1:3" x14ac:dyDescent="0.2">
      <c r="A17">
        <v>4</v>
      </c>
      <c r="B17">
        <v>3.66</v>
      </c>
      <c r="C17">
        <v>0.2</v>
      </c>
    </row>
    <row r="18" spans="1:3" x14ac:dyDescent="0.2">
      <c r="A18">
        <v>4.5</v>
      </c>
      <c r="B18">
        <v>3.64</v>
      </c>
      <c r="C18">
        <v>0.2</v>
      </c>
    </row>
    <row r="19" spans="1:3" x14ac:dyDescent="0.2">
      <c r="A19" s="1">
        <v>5</v>
      </c>
      <c r="B19">
        <v>3.64</v>
      </c>
      <c r="C19">
        <v>0.2</v>
      </c>
    </row>
    <row r="20" spans="1:3" x14ac:dyDescent="0.2">
      <c r="A20">
        <v>5.5</v>
      </c>
      <c r="B20">
        <v>3.61</v>
      </c>
      <c r="C20">
        <v>0.2</v>
      </c>
    </row>
    <row r="21" spans="1:3" x14ac:dyDescent="0.2">
      <c r="A21">
        <v>6</v>
      </c>
      <c r="B21">
        <v>3.58</v>
      </c>
      <c r="C2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D827-5111-DA41-871F-A042ABB9D384}">
  <sheetPr codeName="Sheet3"/>
  <dimension ref="A1:G8"/>
  <sheetViews>
    <sheetView topLeftCell="A2" zoomScale="200" workbookViewId="0">
      <selection activeCell="E1" sqref="E1"/>
    </sheetView>
  </sheetViews>
  <sheetFormatPr baseColWidth="10" defaultRowHeight="16" x14ac:dyDescent="0.2"/>
  <sheetData>
    <row r="1" spans="1:7" x14ac:dyDescent="0.2">
      <c r="A1" t="s">
        <v>13</v>
      </c>
      <c r="B1" t="s">
        <v>15</v>
      </c>
      <c r="D1" t="s">
        <v>14</v>
      </c>
      <c r="F1" t="s">
        <v>6</v>
      </c>
      <c r="G1" t="s">
        <v>5</v>
      </c>
    </row>
    <row r="2" spans="1:7" x14ac:dyDescent="0.2">
      <c r="A2">
        <v>4.75</v>
      </c>
      <c r="B2">
        <v>0.05</v>
      </c>
      <c r="F2" t="b">
        <f>rough_T1!E1=LN(((1-A9/$A$2)/2)^(-1))</f>
        <v>0</v>
      </c>
    </row>
    <row r="8" spans="1:7" x14ac:dyDescent="0.2">
      <c r="A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9A44-F321-E942-A2AC-5DAFE6F557D5}">
  <sheetPr codeName="Sheet4"/>
  <dimension ref="A1:G45"/>
  <sheetViews>
    <sheetView topLeftCell="D7" zoomScale="150" workbookViewId="0">
      <selection activeCell="M31" sqref="M31"/>
    </sheetView>
  </sheetViews>
  <sheetFormatPr baseColWidth="10" defaultRowHeight="16" x14ac:dyDescent="0.2"/>
  <sheetData>
    <row r="1" spans="1:6" x14ac:dyDescent="0.2">
      <c r="A1" s="3" t="s">
        <v>21</v>
      </c>
      <c r="B1" s="2" t="s">
        <v>20</v>
      </c>
      <c r="C1" s="2" t="s">
        <v>19</v>
      </c>
      <c r="E1" t="s">
        <v>6</v>
      </c>
      <c r="F1" t="s">
        <v>5</v>
      </c>
    </row>
    <row r="2" spans="1:6" x14ac:dyDescent="0.2">
      <c r="A2" s="3">
        <v>2</v>
      </c>
      <c r="B2" s="2">
        <v>4570</v>
      </c>
      <c r="C2" s="2">
        <v>35</v>
      </c>
      <c r="E2">
        <f t="shared" ref="E2:E10" si="0">-LN(((1-B2/$B$18)/2))</f>
        <v>3.4802139219803792</v>
      </c>
      <c r="F2" s="4">
        <f>A2</f>
        <v>2</v>
      </c>
    </row>
    <row r="3" spans="1:6" x14ac:dyDescent="0.2">
      <c r="A3" s="3">
        <v>3</v>
      </c>
      <c r="B3" s="2">
        <v>4460</v>
      </c>
      <c r="C3" s="2">
        <v>30</v>
      </c>
      <c r="E3">
        <f t="shared" si="0"/>
        <v>3.1678392369382276</v>
      </c>
      <c r="F3" s="4">
        <f t="shared" ref="F3:F10" si="1">A3</f>
        <v>3</v>
      </c>
    </row>
    <row r="4" spans="1:6" x14ac:dyDescent="0.2">
      <c r="A4" s="3">
        <v>4</v>
      </c>
      <c r="B4" s="2">
        <v>4350</v>
      </c>
      <c r="C4" s="2">
        <v>30</v>
      </c>
      <c r="E4">
        <f t="shared" si="0"/>
        <v>2.9301675850611075</v>
      </c>
      <c r="F4" s="4">
        <f t="shared" si="1"/>
        <v>4</v>
      </c>
    </row>
    <row r="5" spans="1:6" x14ac:dyDescent="0.2">
      <c r="A5" s="3">
        <v>5</v>
      </c>
      <c r="B5" s="2">
        <v>4228</v>
      </c>
      <c r="C5" s="2">
        <v>35</v>
      </c>
      <c r="E5">
        <f t="shared" si="0"/>
        <v>2.7194080929466193</v>
      </c>
      <c r="F5" s="4">
        <f t="shared" si="1"/>
        <v>5</v>
      </c>
    </row>
    <row r="6" spans="1:6" x14ac:dyDescent="0.2">
      <c r="A6" s="3">
        <v>6</v>
      </c>
      <c r="B6" s="2">
        <v>4128</v>
      </c>
      <c r="C6" s="2">
        <v>20</v>
      </c>
      <c r="E6">
        <f t="shared" si="0"/>
        <v>2.5746471534692001</v>
      </c>
      <c r="F6" s="4">
        <f t="shared" si="1"/>
        <v>6</v>
      </c>
    </row>
    <row r="7" spans="1:6" x14ac:dyDescent="0.2">
      <c r="A7" s="3">
        <v>7</v>
      </c>
      <c r="B7" s="2">
        <v>4020</v>
      </c>
      <c r="C7" s="2">
        <v>35</v>
      </c>
      <c r="E7">
        <f t="shared" si="0"/>
        <v>2.4387600471522188</v>
      </c>
      <c r="F7" s="4">
        <f t="shared" si="1"/>
        <v>7</v>
      </c>
    </row>
    <row r="8" spans="1:6" x14ac:dyDescent="0.2">
      <c r="A8" s="3">
        <v>8</v>
      </c>
      <c r="B8" s="2">
        <v>3890</v>
      </c>
      <c r="C8" s="2">
        <v>20</v>
      </c>
      <c r="E8">
        <f t="shared" si="0"/>
        <v>2.2964438249719632</v>
      </c>
      <c r="F8" s="4">
        <f t="shared" si="1"/>
        <v>8</v>
      </c>
    </row>
    <row r="9" spans="1:6" x14ac:dyDescent="0.2">
      <c r="A9" s="3">
        <v>9</v>
      </c>
      <c r="B9" s="2">
        <v>3800</v>
      </c>
      <c r="C9" s="2">
        <v>30</v>
      </c>
      <c r="E9">
        <f t="shared" si="0"/>
        <v>2.2085824691806288</v>
      </c>
      <c r="F9" s="4">
        <f t="shared" si="1"/>
        <v>9</v>
      </c>
    </row>
    <row r="10" spans="1:6" x14ac:dyDescent="0.2">
      <c r="A10" s="3">
        <v>10</v>
      </c>
      <c r="B10" s="2">
        <v>3710</v>
      </c>
      <c r="C10" s="2">
        <v>35</v>
      </c>
      <c r="E10">
        <f t="shared" si="0"/>
        <v>2.1278211125361706</v>
      </c>
      <c r="F10" s="4">
        <f t="shared" si="1"/>
        <v>10</v>
      </c>
    </row>
    <row r="11" spans="1:6" x14ac:dyDescent="0.2">
      <c r="A11" s="3"/>
      <c r="B11" s="2"/>
      <c r="C11" s="2"/>
    </row>
    <row r="12" spans="1:6" x14ac:dyDescent="0.2">
      <c r="A12" s="3"/>
      <c r="B12" s="2"/>
      <c r="C12" s="2"/>
    </row>
    <row r="13" spans="1:6" x14ac:dyDescent="0.2">
      <c r="C13" s="2"/>
    </row>
    <row r="14" spans="1:6" x14ac:dyDescent="0.2">
      <c r="C14" s="2"/>
    </row>
    <row r="17" spans="1:7" x14ac:dyDescent="0.2">
      <c r="D17">
        <v>-1</v>
      </c>
    </row>
    <row r="18" spans="1:7" x14ac:dyDescent="0.2">
      <c r="A18" s="3" t="s">
        <v>18</v>
      </c>
      <c r="B18" s="2">
        <v>4870</v>
      </c>
    </row>
    <row r="19" spans="1:7" x14ac:dyDescent="0.2">
      <c r="A19" s="3" t="s">
        <v>17</v>
      </c>
      <c r="B19" s="2">
        <v>30</v>
      </c>
    </row>
    <row r="21" spans="1:7" x14ac:dyDescent="0.2">
      <c r="A21" s="3" t="s">
        <v>21</v>
      </c>
      <c r="B21" s="2" t="s">
        <v>20</v>
      </c>
      <c r="C21" s="2" t="s">
        <v>22</v>
      </c>
      <c r="D21" t="s">
        <v>23</v>
      </c>
      <c r="E21" t="s">
        <v>24</v>
      </c>
      <c r="F21" t="s">
        <v>6</v>
      </c>
      <c r="G21" t="s">
        <v>5</v>
      </c>
    </row>
    <row r="22" spans="1:7" x14ac:dyDescent="0.2">
      <c r="A22" s="3">
        <v>2</v>
      </c>
      <c r="B22" s="2">
        <v>4530</v>
      </c>
      <c r="C22" s="2">
        <v>50</v>
      </c>
      <c r="D22">
        <f>-1*B22</f>
        <v>-4530</v>
      </c>
      <c r="E22">
        <f>-LN(((1+(B22/$B$18))/2))</f>
        <v>3.5531428378485538E-2</v>
      </c>
      <c r="F22">
        <f t="shared" ref="F22:F45" si="2">-LN(((1-(B22/$B$18))/2))</f>
        <v>3.3550507790263731</v>
      </c>
      <c r="G22" s="4">
        <f t="shared" ref="G22:G41" si="3">A22</f>
        <v>2</v>
      </c>
    </row>
    <row r="23" spans="1:7" x14ac:dyDescent="0.2">
      <c r="A23" s="3">
        <v>3</v>
      </c>
      <c r="B23" s="2">
        <v>4420</v>
      </c>
      <c r="C23" s="2">
        <v>50</v>
      </c>
      <c r="D23">
        <f t="shared" ref="D23:D45" si="4">-1*B23</f>
        <v>-4420</v>
      </c>
      <c r="E23">
        <f t="shared" ref="E23:E45" si="5">-LN(((1+(B23/$B$18))/2))</f>
        <v>4.7302564828696575E-2</v>
      </c>
      <c r="F23">
        <f t="shared" si="2"/>
        <v>3.0747488138722154</v>
      </c>
      <c r="G23" s="4">
        <f t="shared" si="3"/>
        <v>3</v>
      </c>
    </row>
    <row r="24" spans="1:7" x14ac:dyDescent="0.2">
      <c r="A24" s="3">
        <v>4</v>
      </c>
      <c r="B24" s="2">
        <v>4290</v>
      </c>
      <c r="C24" s="2">
        <v>50</v>
      </c>
      <c r="D24">
        <f t="shared" si="4"/>
        <v>-4290</v>
      </c>
      <c r="E24">
        <f t="shared" si="5"/>
        <v>6.1394938968404769E-2</v>
      </c>
      <c r="F24">
        <f t="shared" si="2"/>
        <v>2.820968293096116</v>
      </c>
      <c r="G24" s="4">
        <f t="shared" si="3"/>
        <v>4</v>
      </c>
    </row>
    <row r="25" spans="1:7" x14ac:dyDescent="0.2">
      <c r="A25" s="3">
        <v>5</v>
      </c>
      <c r="B25" s="2">
        <v>4210</v>
      </c>
      <c r="C25" s="2">
        <v>50</v>
      </c>
      <c r="D25">
        <f t="shared" si="4"/>
        <v>-4210</v>
      </c>
      <c r="E25">
        <f t="shared" si="5"/>
        <v>7.0166925041241876E-2</v>
      </c>
      <c r="F25">
        <f t="shared" si="2"/>
        <v>2.6917565616161094</v>
      </c>
      <c r="G25" s="4">
        <f t="shared" si="3"/>
        <v>5</v>
      </c>
    </row>
    <row r="26" spans="1:7" x14ac:dyDescent="0.2">
      <c r="A26" s="3">
        <v>6</v>
      </c>
      <c r="B26" s="2">
        <v>4080</v>
      </c>
      <c r="C26" s="2">
        <v>50</v>
      </c>
      <c r="D26">
        <f t="shared" si="4"/>
        <v>-4080</v>
      </c>
      <c r="E26">
        <f t="shared" si="5"/>
        <v>8.4587585367679741E-2</v>
      </c>
      <c r="F26">
        <f t="shared" si="2"/>
        <v>2.5119634511755136</v>
      </c>
      <c r="G26" s="4">
        <f t="shared" si="3"/>
        <v>6</v>
      </c>
    </row>
    <row r="27" spans="1:7" x14ac:dyDescent="0.2">
      <c r="A27" s="3">
        <v>7</v>
      </c>
      <c r="B27" s="2">
        <v>3970</v>
      </c>
      <c r="C27" s="2">
        <v>50</v>
      </c>
      <c r="D27">
        <f t="shared" si="4"/>
        <v>-3970</v>
      </c>
      <c r="E27">
        <f t="shared" si="5"/>
        <v>9.6954241004891639E-2</v>
      </c>
      <c r="F27">
        <f t="shared" si="2"/>
        <v>2.38160163331227</v>
      </c>
      <c r="G27" s="4">
        <f t="shared" si="3"/>
        <v>7</v>
      </c>
    </row>
    <row r="28" spans="1:7" x14ac:dyDescent="0.2">
      <c r="A28" s="3">
        <v>8</v>
      </c>
      <c r="B28" s="2">
        <v>3890</v>
      </c>
      <c r="C28" s="2">
        <v>50</v>
      </c>
      <c r="D28">
        <f t="shared" si="4"/>
        <v>-3890</v>
      </c>
      <c r="E28">
        <f t="shared" si="5"/>
        <v>0.10604521270614366</v>
      </c>
      <c r="F28">
        <f t="shared" si="2"/>
        <v>2.2964438249719632</v>
      </c>
      <c r="G28" s="4">
        <f t="shared" si="3"/>
        <v>8</v>
      </c>
    </row>
    <row r="29" spans="1:7" x14ac:dyDescent="0.2">
      <c r="A29" s="3">
        <v>9</v>
      </c>
      <c r="B29" s="2">
        <v>3730</v>
      </c>
      <c r="C29" s="2">
        <v>50</v>
      </c>
      <c r="D29">
        <f t="shared" si="4"/>
        <v>-3730</v>
      </c>
      <c r="E29">
        <f t="shared" si="5"/>
        <v>0.1244789143949817</v>
      </c>
      <c r="F29">
        <f t="shared" si="2"/>
        <v>2.1452128552480394</v>
      </c>
      <c r="G29" s="4">
        <f t="shared" si="3"/>
        <v>9</v>
      </c>
    </row>
    <row r="30" spans="1:7" x14ac:dyDescent="0.2">
      <c r="A30" s="3">
        <v>10</v>
      </c>
      <c r="B30" s="2">
        <v>3650</v>
      </c>
      <c r="C30" s="2">
        <v>50</v>
      </c>
      <c r="D30">
        <f t="shared" si="4"/>
        <v>-3650</v>
      </c>
      <c r="E30">
        <f t="shared" si="5"/>
        <v>0.13382477681321939</v>
      </c>
      <c r="F30">
        <f t="shared" si="2"/>
        <v>2.0773902589092783</v>
      </c>
      <c r="G30" s="4">
        <f t="shared" si="3"/>
        <v>10</v>
      </c>
    </row>
    <row r="31" spans="1:7" x14ac:dyDescent="0.2">
      <c r="A31" s="3">
        <v>11</v>
      </c>
      <c r="B31" s="2">
        <v>3570</v>
      </c>
      <c r="D31">
        <f t="shared" si="4"/>
        <v>-3570</v>
      </c>
      <c r="E31">
        <f t="shared" si="5"/>
        <v>0.1432588090465779</v>
      </c>
      <c r="F31">
        <f t="shared" si="2"/>
        <v>2.0138768531869529</v>
      </c>
      <c r="G31" s="4">
        <f t="shared" si="3"/>
        <v>11</v>
      </c>
    </row>
    <row r="32" spans="1:7" x14ac:dyDescent="0.2">
      <c r="A32" s="3">
        <v>12</v>
      </c>
      <c r="B32" s="2">
        <v>3410</v>
      </c>
      <c r="D32">
        <f t="shared" si="4"/>
        <v>-3410</v>
      </c>
      <c r="E32">
        <f t="shared" si="5"/>
        <v>0.16239814925727533</v>
      </c>
      <c r="F32">
        <f t="shared" si="2"/>
        <v>1.8978046819341987</v>
      </c>
      <c r="G32" s="4">
        <f t="shared" si="3"/>
        <v>12</v>
      </c>
    </row>
    <row r="33" spans="1:7" x14ac:dyDescent="0.2">
      <c r="A33" s="3">
        <v>13</v>
      </c>
      <c r="B33" s="2">
        <v>3330</v>
      </c>
      <c r="D33">
        <f t="shared" si="4"/>
        <v>-3330</v>
      </c>
      <c r="E33">
        <f t="shared" si="5"/>
        <v>0.17210696338423639</v>
      </c>
      <c r="F33">
        <f t="shared" si="2"/>
        <v>1.8444587012289058</v>
      </c>
      <c r="G33" s="4">
        <f t="shared" si="3"/>
        <v>13</v>
      </c>
    </row>
    <row r="34" spans="1:7" x14ac:dyDescent="0.2">
      <c r="A34" s="3">
        <v>14</v>
      </c>
      <c r="B34" s="2">
        <v>3270</v>
      </c>
      <c r="D34">
        <f t="shared" si="4"/>
        <v>-3270</v>
      </c>
      <c r="E34">
        <f t="shared" si="5"/>
        <v>0.17945093763999478</v>
      </c>
      <c r="F34">
        <f t="shared" si="2"/>
        <v>1.8062374884087082</v>
      </c>
      <c r="G34" s="4">
        <f t="shared" si="3"/>
        <v>14</v>
      </c>
    </row>
    <row r="35" spans="1:7" x14ac:dyDescent="0.2">
      <c r="A35" s="3">
        <v>15</v>
      </c>
      <c r="B35" s="2">
        <v>3180</v>
      </c>
      <c r="D35">
        <f t="shared" si="4"/>
        <v>-3180</v>
      </c>
      <c r="E35">
        <f t="shared" si="5"/>
        <v>0.1905690262239717</v>
      </c>
      <c r="F35">
        <f t="shared" si="2"/>
        <v>1.7515125887194616</v>
      </c>
      <c r="G35" s="4">
        <f t="shared" si="3"/>
        <v>15</v>
      </c>
    </row>
    <row r="36" spans="1:7" x14ac:dyDescent="0.2">
      <c r="A36" s="3">
        <v>16</v>
      </c>
      <c r="B36" s="2">
        <v>3100</v>
      </c>
      <c r="D36">
        <f t="shared" si="4"/>
        <v>-3100</v>
      </c>
      <c r="E36">
        <f t="shared" si="5"/>
        <v>0.20055662485232006</v>
      </c>
      <c r="F36">
        <f t="shared" si="2"/>
        <v>1.705261571068706</v>
      </c>
      <c r="G36" s="4">
        <f t="shared" si="3"/>
        <v>16</v>
      </c>
    </row>
    <row r="37" spans="1:7" x14ac:dyDescent="0.2">
      <c r="A37" s="3">
        <v>17</v>
      </c>
      <c r="B37" s="2">
        <v>3000</v>
      </c>
      <c r="D37">
        <f t="shared" si="4"/>
        <v>-3000</v>
      </c>
      <c r="E37">
        <f t="shared" si="5"/>
        <v>0.21318305522513187</v>
      </c>
      <c r="F37">
        <f t="shared" si="2"/>
        <v>1.6503026867879484</v>
      </c>
      <c r="G37" s="4">
        <f t="shared" si="3"/>
        <v>17</v>
      </c>
    </row>
    <row r="38" spans="1:7" x14ac:dyDescent="0.2">
      <c r="A38" s="3">
        <v>18</v>
      </c>
      <c r="B38" s="2">
        <v>2930</v>
      </c>
      <c r="D38">
        <f t="shared" si="4"/>
        <v>-2930</v>
      </c>
      <c r="E38">
        <f t="shared" si="5"/>
        <v>0.22211738395889769</v>
      </c>
      <c r="F38">
        <f t="shared" si="2"/>
        <v>1.6135531445792068</v>
      </c>
      <c r="G38" s="4">
        <f t="shared" si="3"/>
        <v>18</v>
      </c>
    </row>
    <row r="39" spans="1:7" x14ac:dyDescent="0.2">
      <c r="A39" s="3">
        <v>19</v>
      </c>
      <c r="B39" s="2">
        <v>2840</v>
      </c>
      <c r="D39">
        <f t="shared" si="4"/>
        <v>-2840</v>
      </c>
      <c r="E39">
        <f t="shared" si="5"/>
        <v>0.23372293007920561</v>
      </c>
      <c r="F39">
        <f t="shared" si="2"/>
        <v>1.5682053246007477</v>
      </c>
      <c r="G39" s="4">
        <f t="shared" si="3"/>
        <v>19</v>
      </c>
    </row>
    <row r="40" spans="1:7" x14ac:dyDescent="0.2">
      <c r="A40" s="3">
        <v>20</v>
      </c>
      <c r="B40" s="2">
        <v>2780</v>
      </c>
      <c r="D40">
        <f t="shared" si="4"/>
        <v>-2780</v>
      </c>
      <c r="E40">
        <f t="shared" si="5"/>
        <v>0.24153546981599919</v>
      </c>
      <c r="F40">
        <f t="shared" si="2"/>
        <v>1.5390770516777241</v>
      </c>
      <c r="G40" s="4">
        <f t="shared" si="3"/>
        <v>20</v>
      </c>
    </row>
    <row r="41" spans="1:7" x14ac:dyDescent="0.2">
      <c r="A41" s="3">
        <v>30</v>
      </c>
      <c r="B41" s="2">
        <v>1980</v>
      </c>
      <c r="D41">
        <f t="shared" si="4"/>
        <v>-1980</v>
      </c>
      <c r="E41">
        <f t="shared" si="5"/>
        <v>0.35199246538030987</v>
      </c>
      <c r="F41">
        <f t="shared" si="2"/>
        <v>1.2149846155301027</v>
      </c>
      <c r="G41" s="4">
        <f t="shared" si="3"/>
        <v>30</v>
      </c>
    </row>
    <row r="42" spans="1:7" x14ac:dyDescent="0.2">
      <c r="A42" s="3">
        <v>40</v>
      </c>
      <c r="B42" s="2">
        <v>1300</v>
      </c>
      <c r="D42">
        <f t="shared" si="4"/>
        <v>-1300</v>
      </c>
      <c r="E42">
        <f t="shared" si="5"/>
        <v>0.45654227973714723</v>
      </c>
      <c r="F42">
        <f t="shared" si="2"/>
        <v>1.0036755218628961</v>
      </c>
    </row>
    <row r="43" spans="1:7" x14ac:dyDescent="0.2">
      <c r="A43" s="3">
        <v>50</v>
      </c>
      <c r="B43" s="2">
        <v>710</v>
      </c>
      <c r="D43">
        <f t="shared" si="4"/>
        <v>-710</v>
      </c>
      <c r="E43">
        <f t="shared" si="5"/>
        <v>0.55705234126122416</v>
      </c>
      <c r="F43">
        <f t="shared" si="2"/>
        <v>0.85072604338127178</v>
      </c>
    </row>
    <row r="44" spans="1:7" x14ac:dyDescent="0.2">
      <c r="A44" s="3">
        <v>60</v>
      </c>
      <c r="B44" s="2">
        <v>400</v>
      </c>
      <c r="D44">
        <f t="shared" si="4"/>
        <v>-400</v>
      </c>
      <c r="E44">
        <f t="shared" si="5"/>
        <v>0.61421075510117285</v>
      </c>
      <c r="F44">
        <f t="shared" si="2"/>
        <v>0.77885270902896631</v>
      </c>
    </row>
    <row r="45" spans="1:7" x14ac:dyDescent="0.2">
      <c r="A45" s="3">
        <v>70</v>
      </c>
      <c r="B45" s="2">
        <v>310</v>
      </c>
      <c r="D45">
        <f t="shared" si="4"/>
        <v>-310</v>
      </c>
      <c r="E45">
        <f t="shared" si="5"/>
        <v>0.63143606138305219</v>
      </c>
      <c r="F45">
        <f t="shared" si="2"/>
        <v>0.75891849412814905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E79A-2BE0-6E4C-92A8-F8EC622833CC}">
  <sheetPr codeName="Sheet5"/>
  <dimension ref="A1:G31"/>
  <sheetViews>
    <sheetView zoomScale="125" zoomScaleNormal="109" workbookViewId="0">
      <selection activeCell="C5" sqref="C5"/>
    </sheetView>
  </sheetViews>
  <sheetFormatPr baseColWidth="10" defaultRowHeight="16" x14ac:dyDescent="0.2"/>
  <cols>
    <col min="4" max="4" width="13.33203125" customWidth="1"/>
  </cols>
  <sheetData>
    <row r="1" spans="1:7" x14ac:dyDescent="0.2">
      <c r="A1" s="3" t="s">
        <v>18</v>
      </c>
      <c r="B1" s="2">
        <v>4170</v>
      </c>
      <c r="D1" t="s">
        <v>0</v>
      </c>
      <c r="E1">
        <v>2</v>
      </c>
    </row>
    <row r="2" spans="1:7" x14ac:dyDescent="0.2">
      <c r="A2" s="3" t="s">
        <v>17</v>
      </c>
      <c r="B2" s="2">
        <v>40</v>
      </c>
    </row>
    <row r="4" spans="1:7" x14ac:dyDescent="0.2">
      <c r="A4" s="3" t="s">
        <v>21</v>
      </c>
      <c r="B4" t="s">
        <v>25</v>
      </c>
      <c r="C4" s="2" t="s">
        <v>20</v>
      </c>
      <c r="D4" s="2" t="s">
        <v>22</v>
      </c>
      <c r="F4" t="s">
        <v>6</v>
      </c>
    </row>
    <row r="5" spans="1:7" x14ac:dyDescent="0.2">
      <c r="A5" s="3">
        <v>10</v>
      </c>
      <c r="C5" s="2">
        <v>-3180</v>
      </c>
      <c r="D5" s="2">
        <v>30</v>
      </c>
      <c r="F5">
        <f>-LN(((1-(C5/$B$1))/2))</f>
        <v>0.12636290314591</v>
      </c>
      <c r="G5" s="4"/>
    </row>
    <row r="6" spans="1:7" x14ac:dyDescent="0.2">
      <c r="A6" s="3">
        <v>20</v>
      </c>
      <c r="C6" s="2">
        <v>-2400</v>
      </c>
      <c r="D6" s="2">
        <v>50</v>
      </c>
      <c r="F6">
        <f t="shared" ref="F6:F27" si="0">-LN(((1-(C6/$B$1))/2))</f>
        <v>0.23854938387413627</v>
      </c>
      <c r="G6" s="4"/>
    </row>
    <row r="7" spans="1:7" x14ac:dyDescent="0.2">
      <c r="A7" s="3">
        <v>30</v>
      </c>
      <c r="C7" s="2">
        <v>-1750</v>
      </c>
      <c r="D7" s="2">
        <v>70</v>
      </c>
      <c r="F7">
        <f t="shared" si="0"/>
        <v>0.34272676747474101</v>
      </c>
      <c r="G7" s="4"/>
    </row>
    <row r="8" spans="1:7" x14ac:dyDescent="0.2">
      <c r="A8" s="3">
        <v>40</v>
      </c>
      <c r="C8" s="2">
        <v>-1170</v>
      </c>
      <c r="D8" s="2">
        <v>70</v>
      </c>
      <c r="F8">
        <f t="shared" si="0"/>
        <v>0.44583756339855191</v>
      </c>
      <c r="G8" s="4"/>
    </row>
    <row r="9" spans="1:7" x14ac:dyDescent="0.2">
      <c r="A9" s="3">
        <v>50</v>
      </c>
      <c r="C9" s="2">
        <v>-670</v>
      </c>
      <c r="D9" s="2">
        <v>70</v>
      </c>
      <c r="F9">
        <f t="shared" si="0"/>
        <v>0.54414849564211509</v>
      </c>
      <c r="G9" s="4"/>
    </row>
    <row r="10" spans="1:7" x14ac:dyDescent="0.2">
      <c r="A10" s="3">
        <v>60</v>
      </c>
      <c r="C10" s="2">
        <v>-425</v>
      </c>
      <c r="D10" s="2">
        <v>50</v>
      </c>
      <c r="F10">
        <f t="shared" si="0"/>
        <v>0.59609446056300497</v>
      </c>
      <c r="G10" s="4"/>
    </row>
    <row r="11" spans="1:7" x14ac:dyDescent="0.2">
      <c r="G11" s="4"/>
    </row>
    <row r="12" spans="1:7" x14ac:dyDescent="0.2">
      <c r="G12" s="4"/>
    </row>
    <row r="13" spans="1:7" x14ac:dyDescent="0.2">
      <c r="A13" s="3">
        <v>80</v>
      </c>
      <c r="C13" s="2">
        <v>560</v>
      </c>
      <c r="D13" s="2">
        <v>50</v>
      </c>
      <c r="F13">
        <f t="shared" si="0"/>
        <v>0.83735544402586592</v>
      </c>
      <c r="G13" s="4"/>
    </row>
    <row r="14" spans="1:7" x14ac:dyDescent="0.2">
      <c r="A14" s="3">
        <v>90</v>
      </c>
      <c r="C14" s="2">
        <v>870</v>
      </c>
      <c r="D14" s="2">
        <v>50</v>
      </c>
      <c r="F14">
        <f t="shared" si="0"/>
        <v>0.92714074789822087</v>
      </c>
      <c r="G14" s="4"/>
    </row>
    <row r="15" spans="1:7" x14ac:dyDescent="0.2">
      <c r="A15" s="3">
        <v>100</v>
      </c>
      <c r="C15" s="2">
        <v>1150</v>
      </c>
      <c r="D15" s="2">
        <v>50</v>
      </c>
      <c r="F15">
        <f t="shared" si="0"/>
        <v>1.0158063849838772</v>
      </c>
      <c r="G15" s="4"/>
    </row>
    <row r="16" spans="1:7" x14ac:dyDescent="0.2">
      <c r="A16" s="3">
        <v>110</v>
      </c>
      <c r="C16" s="2">
        <v>1400</v>
      </c>
      <c r="D16" s="2">
        <v>50</v>
      </c>
      <c r="F16">
        <f t="shared" si="0"/>
        <v>1.1022158961714084</v>
      </c>
      <c r="G16" s="4"/>
    </row>
    <row r="17" spans="1:7" x14ac:dyDescent="0.2">
      <c r="A17" s="3">
        <v>120</v>
      </c>
      <c r="C17" s="2">
        <v>1620</v>
      </c>
      <c r="D17" s="2">
        <v>50</v>
      </c>
      <c r="F17">
        <f t="shared" si="0"/>
        <v>1.1849698572003207</v>
      </c>
      <c r="G17" s="4"/>
    </row>
    <row r="18" spans="1:7" x14ac:dyDescent="0.2">
      <c r="A18" s="3">
        <v>130</v>
      </c>
      <c r="C18" s="2">
        <v>1840</v>
      </c>
      <c r="D18" s="2">
        <v>50</v>
      </c>
      <c r="F18">
        <f t="shared" si="0"/>
        <v>1.2751949487930461</v>
      </c>
      <c r="G18" s="4"/>
    </row>
    <row r="19" spans="1:7" x14ac:dyDescent="0.2">
      <c r="A19" s="3">
        <v>140</v>
      </c>
      <c r="C19" s="2">
        <v>2010</v>
      </c>
      <c r="D19" s="2">
        <v>50</v>
      </c>
      <c r="F19">
        <f t="shared" si="0"/>
        <v>1.3509549946745818</v>
      </c>
      <c r="G19" s="4"/>
    </row>
    <row r="20" spans="1:7" x14ac:dyDescent="0.2">
      <c r="A20" s="3">
        <v>150</v>
      </c>
      <c r="C20" s="2">
        <v>2160</v>
      </c>
      <c r="F20">
        <f t="shared" si="0"/>
        <v>1.4229284942996709</v>
      </c>
      <c r="G20" s="4"/>
    </row>
    <row r="21" spans="1:7" x14ac:dyDescent="0.2">
      <c r="A21" s="3">
        <v>160</v>
      </c>
      <c r="C21" s="2">
        <v>2280</v>
      </c>
      <c r="F21">
        <f t="shared" si="0"/>
        <v>1.4844863872991045</v>
      </c>
      <c r="G21" s="4"/>
    </row>
    <row r="22" spans="1:7" x14ac:dyDescent="0.2">
      <c r="A22" s="3">
        <v>170</v>
      </c>
      <c r="C22" s="2">
        <v>2440</v>
      </c>
      <c r="F22">
        <f t="shared" si="0"/>
        <v>1.5729418078609678</v>
      </c>
      <c r="G22" s="4"/>
    </row>
    <row r="23" spans="1:7" x14ac:dyDescent="0.2">
      <c r="A23" s="3">
        <v>180</v>
      </c>
      <c r="C23" s="2">
        <v>2535</v>
      </c>
      <c r="F23">
        <f t="shared" si="0"/>
        <v>1.6294204120214386</v>
      </c>
      <c r="G23" s="4"/>
    </row>
    <row r="24" spans="1:7" x14ac:dyDescent="0.2">
      <c r="A24" s="3">
        <v>190</v>
      </c>
      <c r="C24" s="2">
        <v>2660</v>
      </c>
      <c r="F24">
        <f t="shared" si="0"/>
        <v>1.7089535655438226</v>
      </c>
    </row>
    <row r="25" spans="1:7" x14ac:dyDescent="0.2">
      <c r="A25" s="3">
        <v>200</v>
      </c>
      <c r="C25" s="2">
        <v>2760</v>
      </c>
      <c r="F25">
        <f t="shared" si="0"/>
        <v>1.7774735119805785</v>
      </c>
    </row>
    <row r="26" spans="1:7" x14ac:dyDescent="0.2">
      <c r="A26" s="3"/>
      <c r="C26" s="2"/>
      <c r="F26">
        <f t="shared" si="0"/>
        <v>0.69314718055994529</v>
      </c>
    </row>
    <row r="27" spans="1:7" x14ac:dyDescent="0.2">
      <c r="A27" s="3"/>
      <c r="C27" s="2"/>
      <c r="F27">
        <f t="shared" si="0"/>
        <v>0.69314718055994529</v>
      </c>
    </row>
    <row r="30" spans="1:7" x14ac:dyDescent="0.2">
      <c r="A30" s="3">
        <v>65</v>
      </c>
      <c r="C30" s="2">
        <v>-365</v>
      </c>
      <c r="D30" s="2">
        <v>70</v>
      </c>
      <c r="F30">
        <f>-LN(((1-(C30/$B$1))/2))</f>
        <v>0.60923813280355554</v>
      </c>
    </row>
    <row r="31" spans="1:7" x14ac:dyDescent="0.2">
      <c r="A31" s="3">
        <v>70</v>
      </c>
      <c r="C31" s="2">
        <v>315</v>
      </c>
      <c r="D31" s="2">
        <v>50</v>
      </c>
      <c r="F31">
        <f>-LN(((1-(C31/$B$1))/2))</f>
        <v>0.77169220935536254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1274-C10C-F14F-BF14-AF90984A7C99}">
  <sheetPr codeName="Sheet6"/>
  <dimension ref="A1:D42"/>
  <sheetViews>
    <sheetView topLeftCell="A5" zoomScale="160" zoomScaleNormal="150" workbookViewId="0">
      <selection activeCell="F13" sqref="F13"/>
    </sheetView>
  </sheetViews>
  <sheetFormatPr baseColWidth="10" defaultRowHeight="16" x14ac:dyDescent="0.2"/>
  <sheetData>
    <row r="1" spans="1:4" x14ac:dyDescent="0.2">
      <c r="A1" s="3"/>
      <c r="B1" s="2"/>
    </row>
    <row r="2" spans="1:4" x14ac:dyDescent="0.2">
      <c r="A2" s="3"/>
      <c r="B2" s="2"/>
    </row>
    <row r="4" spans="1:4" x14ac:dyDescent="0.2">
      <c r="A4" s="3"/>
      <c r="C4" s="2"/>
      <c r="D4" s="2"/>
    </row>
    <row r="5" spans="1:4" x14ac:dyDescent="0.2">
      <c r="A5" s="3"/>
      <c r="C5" s="2"/>
      <c r="D5" s="2"/>
    </row>
    <row r="6" spans="1:4" x14ac:dyDescent="0.2">
      <c r="A6" s="3"/>
      <c r="C6" s="2"/>
      <c r="D6" s="2" t="s">
        <v>26</v>
      </c>
    </row>
    <row r="7" spans="1:4" x14ac:dyDescent="0.2">
      <c r="A7" s="3"/>
      <c r="C7" s="2"/>
      <c r="D7" s="2" t="s">
        <v>27</v>
      </c>
    </row>
    <row r="8" spans="1:4" x14ac:dyDescent="0.2">
      <c r="A8" s="3"/>
      <c r="C8" s="2"/>
      <c r="D8" s="2" t="s">
        <v>26</v>
      </c>
    </row>
    <row r="9" spans="1:4" x14ac:dyDescent="0.2">
      <c r="A9" s="3"/>
      <c r="C9" s="2"/>
      <c r="D9" s="2" t="s">
        <v>28</v>
      </c>
    </row>
    <row r="10" spans="1:4" x14ac:dyDescent="0.2">
      <c r="A10" s="3"/>
      <c r="C10" s="2"/>
      <c r="D10" s="2" t="s">
        <v>29</v>
      </c>
    </row>
    <row r="11" spans="1:4" x14ac:dyDescent="0.2">
      <c r="D11" t="s">
        <v>30</v>
      </c>
    </row>
    <row r="12" spans="1:4" x14ac:dyDescent="0.2">
      <c r="D12" t="s">
        <v>31</v>
      </c>
    </row>
    <row r="13" spans="1:4" x14ac:dyDescent="0.2">
      <c r="A13" s="3"/>
      <c r="C13" s="2"/>
      <c r="D13" s="2" t="s">
        <v>32</v>
      </c>
    </row>
    <row r="14" spans="1:4" x14ac:dyDescent="0.2">
      <c r="A14" s="3"/>
      <c r="C14" s="2"/>
      <c r="D14" s="2" t="s">
        <v>33</v>
      </c>
    </row>
    <row r="15" spans="1:4" x14ac:dyDescent="0.2">
      <c r="A15" s="3"/>
      <c r="C15" s="2"/>
      <c r="D15" s="2" t="s">
        <v>34</v>
      </c>
    </row>
    <row r="16" spans="1:4" x14ac:dyDescent="0.2">
      <c r="A16" s="3"/>
      <c r="C16" s="2"/>
      <c r="D16" s="2" t="s">
        <v>35</v>
      </c>
    </row>
    <row r="17" spans="1:4" x14ac:dyDescent="0.2">
      <c r="A17" s="3"/>
      <c r="C17" s="2"/>
      <c r="D17" s="2" t="s">
        <v>26</v>
      </c>
    </row>
    <row r="18" spans="1:4" x14ac:dyDescent="0.2">
      <c r="A18" s="3"/>
      <c r="C18" s="2"/>
      <c r="D18" s="2"/>
    </row>
    <row r="19" spans="1:4" x14ac:dyDescent="0.2">
      <c r="A19" s="3"/>
      <c r="C19" s="2"/>
      <c r="D19" s="2"/>
    </row>
    <row r="20" spans="1:4" x14ac:dyDescent="0.2">
      <c r="A20" s="3"/>
      <c r="C20" s="2"/>
    </row>
    <row r="21" spans="1:4" x14ac:dyDescent="0.2">
      <c r="A21" s="3"/>
      <c r="C21" s="2"/>
    </row>
    <row r="22" spans="1:4" x14ac:dyDescent="0.2">
      <c r="A22" s="3"/>
      <c r="C22" s="2"/>
    </row>
    <row r="23" spans="1:4" x14ac:dyDescent="0.2">
      <c r="A23" s="3"/>
      <c r="C23" s="2"/>
    </row>
    <row r="24" spans="1:4" x14ac:dyDescent="0.2">
      <c r="A24" s="3"/>
      <c r="C24" s="2"/>
    </row>
    <row r="25" spans="1:4" x14ac:dyDescent="0.2">
      <c r="A25" s="3"/>
      <c r="C25" s="2"/>
      <c r="D25" s="5" t="s">
        <v>26</v>
      </c>
    </row>
    <row r="26" spans="1:4" x14ac:dyDescent="0.2">
      <c r="A26" s="3"/>
      <c r="C26" s="2"/>
      <c r="D26" t="s">
        <v>27</v>
      </c>
    </row>
    <row r="27" spans="1:4" x14ac:dyDescent="0.2">
      <c r="A27" s="3"/>
      <c r="C27" s="2"/>
      <c r="D27" t="s">
        <v>26</v>
      </c>
    </row>
    <row r="28" spans="1:4" x14ac:dyDescent="0.2">
      <c r="D28" t="s">
        <v>28</v>
      </c>
    </row>
    <row r="29" spans="1:4" x14ac:dyDescent="0.2">
      <c r="D29" t="s">
        <v>29</v>
      </c>
    </row>
    <row r="30" spans="1:4" x14ac:dyDescent="0.2">
      <c r="A30" s="3"/>
      <c r="C30" s="2"/>
    </row>
    <row r="31" spans="1:4" x14ac:dyDescent="0.2">
      <c r="A31" s="3"/>
      <c r="C31" s="2"/>
    </row>
    <row r="37" spans="2:4" x14ac:dyDescent="0.2">
      <c r="D37" s="2" t="s">
        <v>36</v>
      </c>
    </row>
    <row r="38" spans="2:4" x14ac:dyDescent="0.2">
      <c r="B38" t="s">
        <v>40</v>
      </c>
    </row>
    <row r="39" spans="2:4" x14ac:dyDescent="0.2">
      <c r="D39" s="2" t="s">
        <v>37</v>
      </c>
    </row>
    <row r="40" spans="2:4" x14ac:dyDescent="0.2">
      <c r="B40" t="s">
        <v>39</v>
      </c>
    </row>
    <row r="41" spans="2:4" x14ac:dyDescent="0.2">
      <c r="B41" t="s">
        <v>38</v>
      </c>
    </row>
    <row r="42" spans="2:4" x14ac:dyDescent="0.2">
      <c r="B4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A442-F4D5-3247-B6CA-11D8A14762CD}">
  <sheetPr codeName="Sheet7"/>
  <dimension ref="A1:F31"/>
  <sheetViews>
    <sheetView zoomScale="135" workbookViewId="0">
      <selection activeCell="B1" sqref="B1"/>
    </sheetView>
  </sheetViews>
  <sheetFormatPr baseColWidth="10" defaultRowHeight="16" x14ac:dyDescent="0.2"/>
  <cols>
    <col min="4" max="4" width="18" customWidth="1"/>
  </cols>
  <sheetData>
    <row r="1" spans="1:6" x14ac:dyDescent="0.2">
      <c r="A1" s="3" t="s">
        <v>18</v>
      </c>
      <c r="B1" s="2">
        <v>3580</v>
      </c>
      <c r="D1" t="s">
        <v>0</v>
      </c>
      <c r="E1" t="s">
        <v>42</v>
      </c>
    </row>
    <row r="2" spans="1:6" x14ac:dyDescent="0.2">
      <c r="A2" s="3" t="s">
        <v>17</v>
      </c>
      <c r="B2" s="2">
        <v>40</v>
      </c>
    </row>
    <row r="4" spans="1:6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6" x14ac:dyDescent="0.2">
      <c r="A5" s="3">
        <v>10</v>
      </c>
      <c r="C5" s="2">
        <v>-2783</v>
      </c>
      <c r="D5" s="2">
        <v>50</v>
      </c>
      <c r="F5">
        <f>-LN(((1-(C5/$B$1))/2))</f>
        <v>0.11801001672189923</v>
      </c>
    </row>
    <row r="6" spans="1:6" x14ac:dyDescent="0.2">
      <c r="A6" s="3">
        <v>20</v>
      </c>
      <c r="C6" s="2">
        <v>-2182</v>
      </c>
      <c r="D6" s="2">
        <v>50</v>
      </c>
      <c r="F6">
        <f t="shared" ref="F6:F24" si="0">-LN(((1-(C6/$B$1))/2))</f>
        <v>0.21722534431021751</v>
      </c>
    </row>
    <row r="7" spans="1:6" x14ac:dyDescent="0.2">
      <c r="A7" s="3">
        <v>30</v>
      </c>
      <c r="C7" s="2">
        <v>-1646</v>
      </c>
      <c r="D7" s="2">
        <v>50</v>
      </c>
      <c r="F7">
        <f t="shared" si="0"/>
        <v>0.31486381387413348</v>
      </c>
    </row>
    <row r="8" spans="1:6" x14ac:dyDescent="0.2">
      <c r="A8" s="3">
        <v>40</v>
      </c>
      <c r="C8" s="2">
        <v>-1163</v>
      </c>
      <c r="D8" s="2">
        <v>50</v>
      </c>
      <c r="F8">
        <f t="shared" si="0"/>
        <v>0.41184013407710968</v>
      </c>
    </row>
    <row r="9" spans="1:6" x14ac:dyDescent="0.2">
      <c r="A9" s="3">
        <v>50</v>
      </c>
      <c r="B9">
        <v>762</v>
      </c>
      <c r="C9" s="2">
        <f>-B9</f>
        <v>-762</v>
      </c>
      <c r="D9" s="2">
        <v>50</v>
      </c>
      <c r="F9">
        <f t="shared" si="0"/>
        <v>0.50017490951645416</v>
      </c>
    </row>
    <row r="10" spans="1:6" x14ac:dyDescent="0.2">
      <c r="A10" s="3">
        <v>60</v>
      </c>
      <c r="B10">
        <v>457</v>
      </c>
      <c r="C10" s="2">
        <f>-B10</f>
        <v>-457</v>
      </c>
      <c r="D10" s="2">
        <v>50</v>
      </c>
      <c r="F10">
        <f t="shared" si="0"/>
        <v>0.57300813910175052</v>
      </c>
    </row>
    <row r="11" spans="1:6" x14ac:dyDescent="0.2">
      <c r="A11" s="3">
        <v>70</v>
      </c>
      <c r="B11">
        <v>320</v>
      </c>
      <c r="C11" s="2">
        <v>320</v>
      </c>
      <c r="D11" s="2">
        <v>50</v>
      </c>
      <c r="F11">
        <f t="shared" si="0"/>
        <v>0.78678278559393799</v>
      </c>
    </row>
    <row r="12" spans="1:6" x14ac:dyDescent="0.2">
      <c r="A12" s="3">
        <v>80</v>
      </c>
      <c r="B12">
        <v>340</v>
      </c>
      <c r="C12" s="2">
        <f t="shared" ref="C12:C19" si="1">B12</f>
        <v>340</v>
      </c>
      <c r="D12" s="2">
        <v>50</v>
      </c>
      <c r="F12">
        <f t="shared" si="0"/>
        <v>0.79293665116831613</v>
      </c>
    </row>
    <row r="13" spans="1:6" x14ac:dyDescent="0.2">
      <c r="A13" s="3">
        <v>90</v>
      </c>
      <c r="B13">
        <v>613</v>
      </c>
      <c r="C13" s="2">
        <f t="shared" si="1"/>
        <v>613</v>
      </c>
      <c r="D13" s="2">
        <v>50</v>
      </c>
      <c r="F13">
        <f t="shared" si="0"/>
        <v>0.88095863966386956</v>
      </c>
    </row>
    <row r="14" spans="1:6" x14ac:dyDescent="0.2">
      <c r="A14" s="3">
        <v>100</v>
      </c>
      <c r="B14">
        <v>856</v>
      </c>
      <c r="C14" s="2">
        <f t="shared" si="1"/>
        <v>856</v>
      </c>
      <c r="D14" s="2">
        <v>50</v>
      </c>
      <c r="F14">
        <f t="shared" si="0"/>
        <v>0.96640859268528823</v>
      </c>
    </row>
    <row r="15" spans="1:6" x14ac:dyDescent="0.2">
      <c r="A15" s="3">
        <v>110</v>
      </c>
      <c r="B15">
        <v>1072</v>
      </c>
      <c r="C15" s="2">
        <f t="shared" si="1"/>
        <v>1072</v>
      </c>
      <c r="D15" s="2">
        <v>50</v>
      </c>
      <c r="F15">
        <f t="shared" si="0"/>
        <v>1.0490243582018801</v>
      </c>
    </row>
    <row r="16" spans="1:6" x14ac:dyDescent="0.2">
      <c r="A16" s="3">
        <v>120</v>
      </c>
      <c r="B16">
        <v>1254</v>
      </c>
      <c r="C16" s="2">
        <f t="shared" si="1"/>
        <v>1254</v>
      </c>
      <c r="D16" s="2">
        <v>50</v>
      </c>
      <c r="F16">
        <f t="shared" si="0"/>
        <v>1.1243599268760816</v>
      </c>
    </row>
    <row r="17" spans="1:6" x14ac:dyDescent="0.2">
      <c r="A17" s="3">
        <v>130</v>
      </c>
      <c r="B17">
        <v>1447</v>
      </c>
      <c r="C17" s="2">
        <f t="shared" si="1"/>
        <v>1447</v>
      </c>
      <c r="D17" s="2">
        <v>50</v>
      </c>
      <c r="F17">
        <f t="shared" si="0"/>
        <v>1.2109805414833406</v>
      </c>
    </row>
    <row r="18" spans="1:6" x14ac:dyDescent="0.2">
      <c r="A18" s="3">
        <v>140</v>
      </c>
      <c r="B18">
        <v>1628</v>
      </c>
      <c r="C18" s="2">
        <f t="shared" si="1"/>
        <v>1628</v>
      </c>
      <c r="D18" s="2">
        <v>50</v>
      </c>
      <c r="F18">
        <f t="shared" si="0"/>
        <v>1.2996554929816535</v>
      </c>
    </row>
    <row r="19" spans="1:6" x14ac:dyDescent="0.2">
      <c r="A19" s="3">
        <v>150</v>
      </c>
      <c r="B19">
        <v>1745</v>
      </c>
      <c r="C19" s="2">
        <f t="shared" si="1"/>
        <v>1745</v>
      </c>
      <c r="D19" s="2">
        <v>50</v>
      </c>
      <c r="F19">
        <f t="shared" si="0"/>
        <v>1.3614654994660207</v>
      </c>
    </row>
    <row r="20" spans="1:6" x14ac:dyDescent="0.2">
      <c r="A20" s="3">
        <v>160</v>
      </c>
      <c r="C20" s="2">
        <v>1903</v>
      </c>
      <c r="D20" s="2">
        <v>50</v>
      </c>
      <c r="F20">
        <f t="shared" si="0"/>
        <v>1.4515034981314825</v>
      </c>
    </row>
    <row r="21" spans="1:6" x14ac:dyDescent="0.2">
      <c r="A21" s="3">
        <v>170</v>
      </c>
      <c r="C21" s="2">
        <v>2000</v>
      </c>
      <c r="D21" s="2">
        <v>50</v>
      </c>
      <c r="F21">
        <f t="shared" si="0"/>
        <v>1.5110851339336788</v>
      </c>
    </row>
    <row r="22" spans="1:6" x14ac:dyDescent="0.2">
      <c r="A22" s="3">
        <v>180</v>
      </c>
      <c r="C22" s="2">
        <v>2100</v>
      </c>
      <c r="D22" s="2">
        <v>50</v>
      </c>
      <c r="F22">
        <f t="shared" si="0"/>
        <v>1.5764678931965306</v>
      </c>
    </row>
    <row r="23" spans="1:6" x14ac:dyDescent="0.2">
      <c r="A23" s="3">
        <v>190</v>
      </c>
      <c r="C23" s="2">
        <v>2220</v>
      </c>
      <c r="D23" s="2">
        <v>50</v>
      </c>
      <c r="F23">
        <f t="shared" si="0"/>
        <v>1.6610252812245936</v>
      </c>
    </row>
    <row r="24" spans="1:6" x14ac:dyDescent="0.2">
      <c r="A24" s="3">
        <v>200</v>
      </c>
      <c r="C24" s="2">
        <v>2300</v>
      </c>
      <c r="D24" s="2">
        <v>50</v>
      </c>
      <c r="F24">
        <f t="shared" si="0"/>
        <v>1.7216499030410286</v>
      </c>
    </row>
    <row r="25" spans="1:6" x14ac:dyDescent="0.2">
      <c r="A25" s="3"/>
      <c r="C25" s="2"/>
    </row>
    <row r="26" spans="1:6" x14ac:dyDescent="0.2">
      <c r="A26" s="3"/>
      <c r="C26" s="2"/>
    </row>
    <row r="30" spans="1:6" x14ac:dyDescent="0.2">
      <c r="A30" s="3"/>
      <c r="C30" s="2"/>
      <c r="D30" s="2"/>
    </row>
    <row r="31" spans="1:6" x14ac:dyDescent="0.2">
      <c r="A31" s="3"/>
      <c r="C31" s="2"/>
      <c r="D31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5709-0BD5-A243-98EF-E276F03268BA}">
  <sheetPr codeName="Sheet8"/>
  <dimension ref="A1:H31"/>
  <sheetViews>
    <sheetView zoomScale="133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6075</v>
      </c>
      <c r="D1" t="s">
        <v>0</v>
      </c>
      <c r="E1" t="s">
        <v>42</v>
      </c>
      <c r="G1" t="s">
        <v>43</v>
      </c>
      <c r="H1">
        <f>1/0.015</f>
        <v>66.666666666666671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10</v>
      </c>
      <c r="B5">
        <v>4340</v>
      </c>
      <c r="C5" s="2">
        <f>-B5</f>
        <v>-4340</v>
      </c>
      <c r="D5" s="2">
        <v>50</v>
      </c>
      <c r="F5">
        <f>-LN(((1-(C5/$B$1))/2))</f>
        <v>0.15408209507362217</v>
      </c>
    </row>
    <row r="6" spans="1:8" x14ac:dyDescent="0.2">
      <c r="A6" s="3">
        <v>20</v>
      </c>
      <c r="B6">
        <v>2740</v>
      </c>
      <c r="C6" s="2">
        <f t="shared" ref="C6:C8" si="0">-B6</f>
        <v>-2740</v>
      </c>
      <c r="D6" s="2">
        <v>50</v>
      </c>
      <c r="F6">
        <f t="shared" ref="F6:F24" si="1">-LN(((1-(C6/$B$1))/2))</f>
        <v>0.32087435393672387</v>
      </c>
    </row>
    <row r="7" spans="1:8" x14ac:dyDescent="0.2">
      <c r="A7" s="3">
        <v>30</v>
      </c>
      <c r="B7">
        <v>1550</v>
      </c>
      <c r="C7" s="2">
        <f t="shared" si="0"/>
        <v>-1550</v>
      </c>
      <c r="D7" s="2">
        <v>50</v>
      </c>
      <c r="F7">
        <f t="shared" si="1"/>
        <v>0.46589684729308217</v>
      </c>
    </row>
    <row r="8" spans="1:8" x14ac:dyDescent="0.2">
      <c r="A8" s="3">
        <v>40</v>
      </c>
      <c r="B8">
        <v>530</v>
      </c>
      <c r="C8" s="2">
        <f t="shared" si="0"/>
        <v>-530</v>
      </c>
      <c r="D8" s="2">
        <v>50</v>
      </c>
      <c r="F8">
        <f t="shared" si="1"/>
        <v>0.60950223181226881</v>
      </c>
    </row>
    <row r="9" spans="1:8" x14ac:dyDescent="0.2">
      <c r="A9" s="3">
        <v>50</v>
      </c>
      <c r="B9">
        <v>600</v>
      </c>
      <c r="C9" s="2">
        <f>B9</f>
        <v>600</v>
      </c>
      <c r="D9" s="2">
        <v>50</v>
      </c>
      <c r="F9">
        <f t="shared" si="1"/>
        <v>0.79713689408399291</v>
      </c>
    </row>
    <row r="10" spans="1:8" x14ac:dyDescent="0.2">
      <c r="A10" s="3">
        <v>60</v>
      </c>
      <c r="B10">
        <v>1400</v>
      </c>
      <c r="C10" s="2">
        <f t="shared" ref="C10:C24" si="2">B10</f>
        <v>1400</v>
      </c>
      <c r="D10" s="2">
        <v>50</v>
      </c>
      <c r="F10">
        <f t="shared" si="1"/>
        <v>0.95510000704590725</v>
      </c>
    </row>
    <row r="11" spans="1:8" x14ac:dyDescent="0.2">
      <c r="A11" s="3">
        <v>70</v>
      </c>
      <c r="B11">
        <v>2020</v>
      </c>
      <c r="C11" s="2">
        <f t="shared" si="2"/>
        <v>2020</v>
      </c>
      <c r="D11" s="2">
        <v>50</v>
      </c>
      <c r="F11">
        <f t="shared" si="1"/>
        <v>1.0973784822191812</v>
      </c>
    </row>
    <row r="12" spans="1:8" x14ac:dyDescent="0.2">
      <c r="A12" s="3">
        <v>80</v>
      </c>
      <c r="B12">
        <v>2670</v>
      </c>
      <c r="C12" s="2">
        <f t="shared" si="2"/>
        <v>2670</v>
      </c>
      <c r="D12" s="2">
        <v>50</v>
      </c>
      <c r="F12">
        <f t="shared" si="1"/>
        <v>1.2720842301850819</v>
      </c>
    </row>
    <row r="13" spans="1:8" x14ac:dyDescent="0.2">
      <c r="A13" s="3">
        <v>90</v>
      </c>
      <c r="B13">
        <v>3140</v>
      </c>
      <c r="C13" s="2">
        <f t="shared" si="2"/>
        <v>3140</v>
      </c>
      <c r="D13" s="2">
        <v>50</v>
      </c>
      <c r="F13">
        <f t="shared" si="1"/>
        <v>1.4206217165064976</v>
      </c>
    </row>
    <row r="14" spans="1:8" x14ac:dyDescent="0.2">
      <c r="A14" s="3">
        <v>100</v>
      </c>
      <c r="B14">
        <v>3510</v>
      </c>
      <c r="C14" s="2">
        <f t="shared" si="2"/>
        <v>3510</v>
      </c>
      <c r="D14" s="2">
        <v>50</v>
      </c>
      <c r="F14">
        <f t="shared" si="1"/>
        <v>1.5553706911638245</v>
      </c>
    </row>
    <row r="15" spans="1:8" x14ac:dyDescent="0.2">
      <c r="A15" s="3">
        <v>110</v>
      </c>
      <c r="B15">
        <v>3890</v>
      </c>
      <c r="C15" s="2">
        <f t="shared" si="2"/>
        <v>3890</v>
      </c>
      <c r="D15" s="2">
        <v>50</v>
      </c>
      <c r="F15">
        <f t="shared" si="1"/>
        <v>1.7157133412390038</v>
      </c>
    </row>
    <row r="16" spans="1:8" x14ac:dyDescent="0.2">
      <c r="A16" s="3">
        <v>120</v>
      </c>
      <c r="B16">
        <v>4200</v>
      </c>
      <c r="C16" s="2">
        <f t="shared" si="2"/>
        <v>4200</v>
      </c>
      <c r="D16" s="2">
        <v>50</v>
      </c>
      <c r="F16">
        <f t="shared" si="1"/>
        <v>1.8687205103641833</v>
      </c>
    </row>
    <row r="17" spans="1:6" x14ac:dyDescent="0.2">
      <c r="A17" s="3">
        <v>130</v>
      </c>
      <c r="B17">
        <v>4440</v>
      </c>
      <c r="C17" s="2">
        <f t="shared" si="2"/>
        <v>4440</v>
      </c>
      <c r="D17" s="2">
        <v>50</v>
      </c>
      <c r="F17">
        <f t="shared" si="1"/>
        <v>2.0056863654373407</v>
      </c>
    </row>
    <row r="18" spans="1:6" x14ac:dyDescent="0.2">
      <c r="A18" s="3">
        <v>140</v>
      </c>
      <c r="B18">
        <v>4640</v>
      </c>
      <c r="C18" s="2">
        <f t="shared" si="2"/>
        <v>4640</v>
      </c>
      <c r="D18" s="2">
        <v>50</v>
      </c>
      <c r="F18">
        <f t="shared" si="1"/>
        <v>2.1361643205749732</v>
      </c>
    </row>
    <row r="19" spans="1:6" x14ac:dyDescent="0.2">
      <c r="A19" s="3">
        <v>150</v>
      </c>
      <c r="B19">
        <v>4840</v>
      </c>
      <c r="C19" s="2">
        <f t="shared" si="2"/>
        <v>4840</v>
      </c>
      <c r="D19" s="2">
        <v>50</v>
      </c>
      <c r="F19">
        <f t="shared" si="1"/>
        <v>2.2862581997066171</v>
      </c>
    </row>
    <row r="20" spans="1:6" x14ac:dyDescent="0.2">
      <c r="A20" s="3">
        <v>160</v>
      </c>
      <c r="B20">
        <v>5040</v>
      </c>
      <c r="C20" s="2">
        <f t="shared" si="2"/>
        <v>5040</v>
      </c>
      <c r="D20" s="2">
        <v>50</v>
      </c>
      <c r="F20">
        <f t="shared" si="1"/>
        <v>2.4629277430692249</v>
      </c>
    </row>
    <row r="21" spans="1:6" x14ac:dyDescent="0.2">
      <c r="A21" s="3">
        <v>170</v>
      </c>
      <c r="B21">
        <v>5160</v>
      </c>
      <c r="C21" s="2">
        <f t="shared" si="2"/>
        <v>5160</v>
      </c>
      <c r="D21" s="2">
        <v>50</v>
      </c>
      <c r="F21">
        <f t="shared" si="1"/>
        <v>2.5861603834931737</v>
      </c>
    </row>
    <row r="22" spans="1:6" x14ac:dyDescent="0.2">
      <c r="A22" s="3">
        <v>180</v>
      </c>
      <c r="B22">
        <v>5240</v>
      </c>
      <c r="C22" s="2">
        <f t="shared" si="2"/>
        <v>5240</v>
      </c>
      <c r="D22" s="2">
        <v>50</v>
      </c>
      <c r="F22">
        <f t="shared" si="1"/>
        <v>2.6776527239178396</v>
      </c>
    </row>
    <row r="23" spans="1:6" x14ac:dyDescent="0.2">
      <c r="A23" s="3">
        <v>190</v>
      </c>
      <c r="B23">
        <v>5400</v>
      </c>
      <c r="C23" s="2">
        <f t="shared" si="2"/>
        <v>5400</v>
      </c>
      <c r="D23" s="2">
        <v>50</v>
      </c>
      <c r="F23">
        <f t="shared" si="1"/>
        <v>2.8903717578961641</v>
      </c>
    </row>
    <row r="24" spans="1:6" x14ac:dyDescent="0.2">
      <c r="A24" s="3">
        <v>200</v>
      </c>
      <c r="B24">
        <v>5480</v>
      </c>
      <c r="C24" s="2">
        <f t="shared" si="2"/>
        <v>5480</v>
      </c>
      <c r="D24" s="2">
        <v>50</v>
      </c>
      <c r="F24">
        <f t="shared" si="1"/>
        <v>3.0165230432230645</v>
      </c>
    </row>
    <row r="25" spans="1:6" x14ac:dyDescent="0.2">
      <c r="A25" s="3"/>
      <c r="C25" s="2"/>
    </row>
    <row r="26" spans="1:6" x14ac:dyDescent="0.2">
      <c r="A26" s="3"/>
      <c r="C26" s="2"/>
    </row>
    <row r="30" spans="1:6" x14ac:dyDescent="0.2">
      <c r="A30" s="3"/>
      <c r="C30" s="2"/>
      <c r="D30" s="2"/>
    </row>
    <row r="31" spans="1:6" x14ac:dyDescent="0.2">
      <c r="A31" s="3"/>
      <c r="C31" s="2"/>
      <c r="D31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21D7-459A-2B49-91EA-BF965B3F2090}">
  <sheetPr codeName="Sheet9"/>
  <dimension ref="A1:H31"/>
  <sheetViews>
    <sheetView topLeftCell="D1" zoomScale="135" workbookViewId="0">
      <selection activeCell="F16" sqref="F16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7460</v>
      </c>
      <c r="D1" t="s">
        <v>0</v>
      </c>
      <c r="E1" t="s">
        <v>42</v>
      </c>
      <c r="G1" t="s">
        <v>43</v>
      </c>
      <c r="H1">
        <f>1/0.0095</f>
        <v>105.26315789473685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10</v>
      </c>
      <c r="B5">
        <v>5940</v>
      </c>
      <c r="C5" s="2">
        <f>-B5</f>
        <v>-5940</v>
      </c>
      <c r="D5" s="2">
        <v>50</v>
      </c>
      <c r="F5">
        <f>-LN(((1-(C5/$B$1))/2))</f>
        <v>0.10744788781874919</v>
      </c>
    </row>
    <row r="6" spans="1:8" x14ac:dyDescent="0.2">
      <c r="A6" s="3">
        <v>20</v>
      </c>
      <c r="B6">
        <v>4755</v>
      </c>
      <c r="C6" s="2">
        <f t="shared" ref="C6:C11" si="0">-B6</f>
        <v>-4755</v>
      </c>
      <c r="D6" s="2">
        <v>50</v>
      </c>
      <c r="F6">
        <f t="shared" ref="F6:F24" si="1">-LN(((1-(C6/$B$1))/2))</f>
        <v>0.20003789006591105</v>
      </c>
    </row>
    <row r="7" spans="1:8" x14ac:dyDescent="0.2">
      <c r="A7" s="3">
        <v>30</v>
      </c>
      <c r="B7">
        <v>3654</v>
      </c>
      <c r="C7" s="2">
        <f t="shared" si="0"/>
        <v>-3654</v>
      </c>
      <c r="D7" s="2">
        <v>50</v>
      </c>
      <c r="F7">
        <f t="shared" si="1"/>
        <v>0.29449701991788524</v>
      </c>
    </row>
    <row r="8" spans="1:8" x14ac:dyDescent="0.2">
      <c r="A8" s="3">
        <v>40</v>
      </c>
      <c r="B8">
        <v>2700</v>
      </c>
      <c r="C8" s="2">
        <f t="shared" si="0"/>
        <v>-2700</v>
      </c>
      <c r="D8" s="2">
        <v>50</v>
      </c>
      <c r="F8">
        <f t="shared" si="1"/>
        <v>0.38424415262527895</v>
      </c>
    </row>
    <row r="9" spans="1:8" x14ac:dyDescent="0.2">
      <c r="A9" s="3">
        <v>50</v>
      </c>
      <c r="B9">
        <v>1820</v>
      </c>
      <c r="C9" s="2">
        <f t="shared" si="0"/>
        <v>-1820</v>
      </c>
      <c r="D9" s="2">
        <v>50</v>
      </c>
      <c r="F9">
        <f t="shared" si="1"/>
        <v>0.47484104797750565</v>
      </c>
    </row>
    <row r="10" spans="1:8" x14ac:dyDescent="0.2">
      <c r="A10" s="3">
        <v>60</v>
      </c>
      <c r="B10">
        <v>1030</v>
      </c>
      <c r="C10" s="2">
        <f t="shared" si="0"/>
        <v>-1030</v>
      </c>
      <c r="D10" s="2">
        <v>50</v>
      </c>
      <c r="F10">
        <f t="shared" si="1"/>
        <v>0.5638135944523589</v>
      </c>
    </row>
    <row r="11" spans="1:8" x14ac:dyDescent="0.2">
      <c r="A11" s="3">
        <v>70</v>
      </c>
      <c r="B11">
        <v>630</v>
      </c>
      <c r="C11" s="2">
        <f t="shared" si="0"/>
        <v>-630</v>
      </c>
      <c r="D11" s="2">
        <v>50</v>
      </c>
      <c r="F11">
        <f t="shared" si="1"/>
        <v>0.61207386370521455</v>
      </c>
    </row>
    <row r="12" spans="1:8" x14ac:dyDescent="0.2">
      <c r="A12" s="3">
        <v>80</v>
      </c>
      <c r="B12">
        <v>640</v>
      </c>
      <c r="C12" s="2">
        <f>B12</f>
        <v>640</v>
      </c>
      <c r="D12" s="2">
        <v>50</v>
      </c>
      <c r="F12">
        <f t="shared" si="1"/>
        <v>0.78284312292024416</v>
      </c>
    </row>
    <row r="13" spans="1:8" x14ac:dyDescent="0.2">
      <c r="A13" s="3">
        <v>90</v>
      </c>
      <c r="B13">
        <v>1270</v>
      </c>
      <c r="C13" s="2">
        <f t="shared" ref="C13:C24" si="2">B13</f>
        <v>1270</v>
      </c>
      <c r="D13" s="2">
        <v>50</v>
      </c>
      <c r="F13">
        <f t="shared" si="1"/>
        <v>0.87976750807911008</v>
      </c>
    </row>
    <row r="14" spans="1:8" x14ac:dyDescent="0.2">
      <c r="A14" s="3">
        <v>100</v>
      </c>
      <c r="B14">
        <v>1820</v>
      </c>
      <c r="C14" s="2">
        <f t="shared" si="2"/>
        <v>1820</v>
      </c>
      <c r="D14" s="2">
        <v>50</v>
      </c>
      <c r="F14">
        <f t="shared" si="1"/>
        <v>0.97281852926564716</v>
      </c>
    </row>
    <row r="15" spans="1:8" x14ac:dyDescent="0.2">
      <c r="A15" s="3">
        <v>110</v>
      </c>
      <c r="B15">
        <v>2300</v>
      </c>
      <c r="C15" s="2">
        <f t="shared" si="2"/>
        <v>2300</v>
      </c>
      <c r="D15" s="2">
        <v>50</v>
      </c>
      <c r="F15">
        <f t="shared" si="1"/>
        <v>1.0617660152821433</v>
      </c>
    </row>
    <row r="16" spans="1:8" x14ac:dyDescent="0.2">
      <c r="A16" s="3">
        <v>120</v>
      </c>
      <c r="B16">
        <v>2775</v>
      </c>
      <c r="C16" s="2">
        <f t="shared" si="2"/>
        <v>2775</v>
      </c>
      <c r="D16" s="2">
        <v>50</v>
      </c>
      <c r="F16">
        <f t="shared" si="1"/>
        <v>1.1583366790852292</v>
      </c>
    </row>
    <row r="17" spans="1:6" x14ac:dyDescent="0.2">
      <c r="A17" s="3">
        <v>130</v>
      </c>
      <c r="B17">
        <v>3170</v>
      </c>
      <c r="C17" s="2">
        <f t="shared" si="2"/>
        <v>3170</v>
      </c>
      <c r="D17" s="2">
        <v>50</v>
      </c>
      <c r="F17">
        <f t="shared" si="1"/>
        <v>1.2464158618356891</v>
      </c>
    </row>
    <row r="18" spans="1:6" x14ac:dyDescent="0.2">
      <c r="A18" s="3">
        <v>140</v>
      </c>
      <c r="B18">
        <v>3570</v>
      </c>
      <c r="C18" s="2">
        <f t="shared" si="2"/>
        <v>3570</v>
      </c>
      <c r="D18" s="2">
        <v>50</v>
      </c>
      <c r="F18">
        <f t="shared" si="1"/>
        <v>1.34429343714526</v>
      </c>
    </row>
    <row r="19" spans="1:6" x14ac:dyDescent="0.2">
      <c r="A19" s="3">
        <v>150</v>
      </c>
      <c r="B19">
        <v>3880</v>
      </c>
      <c r="C19" s="2">
        <f t="shared" si="2"/>
        <v>3880</v>
      </c>
      <c r="D19" s="2">
        <v>50</v>
      </c>
      <c r="F19">
        <f t="shared" si="1"/>
        <v>1.427339794363006</v>
      </c>
    </row>
    <row r="20" spans="1:6" x14ac:dyDescent="0.2">
      <c r="A20" s="3">
        <v>160</v>
      </c>
      <c r="B20">
        <v>4200</v>
      </c>
      <c r="C20" s="2">
        <f t="shared" si="2"/>
        <v>4200</v>
      </c>
      <c r="D20" s="2">
        <v>50</v>
      </c>
      <c r="F20">
        <f t="shared" si="1"/>
        <v>1.5209753993969986</v>
      </c>
    </row>
    <row r="21" spans="1:6" x14ac:dyDescent="0.2">
      <c r="A21" s="3">
        <v>170</v>
      </c>
      <c r="B21">
        <v>4520</v>
      </c>
      <c r="C21" s="2">
        <f t="shared" si="2"/>
        <v>4520</v>
      </c>
      <c r="D21" s="2">
        <v>50</v>
      </c>
      <c r="F21">
        <f t="shared" si="1"/>
        <v>1.6242930134250244</v>
      </c>
    </row>
    <row r="22" spans="1:6" x14ac:dyDescent="0.2">
      <c r="A22" s="3">
        <v>180</v>
      </c>
      <c r="B22">
        <v>4770</v>
      </c>
      <c r="C22" s="2">
        <f t="shared" si="2"/>
        <v>4770</v>
      </c>
      <c r="D22" s="2">
        <v>50</v>
      </c>
      <c r="F22">
        <f t="shared" si="1"/>
        <v>1.713161401161867</v>
      </c>
    </row>
    <row r="23" spans="1:6" x14ac:dyDescent="0.2">
      <c r="A23" s="3">
        <v>190</v>
      </c>
      <c r="B23">
        <v>4995</v>
      </c>
      <c r="C23" s="2">
        <f t="shared" si="2"/>
        <v>4995</v>
      </c>
      <c r="D23" s="2">
        <v>50</v>
      </c>
      <c r="F23">
        <f t="shared" si="1"/>
        <v>1.8005107872809611</v>
      </c>
    </row>
    <row r="24" spans="1:6" x14ac:dyDescent="0.2">
      <c r="A24" s="3">
        <v>200</v>
      </c>
      <c r="B24">
        <v>5160</v>
      </c>
      <c r="C24" s="2">
        <f t="shared" si="2"/>
        <v>5160</v>
      </c>
      <c r="D24" s="2">
        <v>50</v>
      </c>
      <c r="F24">
        <f t="shared" si="1"/>
        <v>1.8697934718405109</v>
      </c>
    </row>
    <row r="25" spans="1:6" x14ac:dyDescent="0.2">
      <c r="A25" s="3"/>
      <c r="C25" s="2"/>
    </row>
    <row r="26" spans="1:6" x14ac:dyDescent="0.2">
      <c r="A26" s="3"/>
      <c r="C26" s="2"/>
    </row>
    <row r="30" spans="1:6" x14ac:dyDescent="0.2">
      <c r="A30" s="3"/>
      <c r="C30" s="2"/>
      <c r="D30" s="2"/>
    </row>
    <row r="31" spans="1:6" x14ac:dyDescent="0.2">
      <c r="A31" s="3"/>
      <c r="C31" s="2"/>
      <c r="D31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B9DB-34F4-4D44-ABFB-3197D1A06D9A}">
  <sheetPr codeName="Sheet10"/>
  <dimension ref="A1:H47"/>
  <sheetViews>
    <sheetView topLeftCell="A28" zoomScale="134" workbookViewId="0">
      <selection activeCell="C34" sqref="C34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7300</v>
      </c>
      <c r="D1" t="s">
        <v>0</v>
      </c>
      <c r="E1" t="s">
        <v>42</v>
      </c>
      <c r="G1" t="s">
        <v>43</v>
      </c>
      <c r="H1">
        <f>1/0.0028</f>
        <v>357.14285714285717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/>
      <c r="C5" s="2"/>
      <c r="D5" s="2"/>
    </row>
    <row r="6" spans="1:8" x14ac:dyDescent="0.2">
      <c r="A6" s="3"/>
      <c r="C6" s="2"/>
      <c r="D6" s="2"/>
    </row>
    <row r="7" spans="1:8" x14ac:dyDescent="0.2">
      <c r="A7" s="3"/>
      <c r="C7" s="2"/>
      <c r="D7" s="2"/>
    </row>
    <row r="8" spans="1:8" x14ac:dyDescent="0.2">
      <c r="A8" s="3"/>
      <c r="C8" s="2"/>
      <c r="D8" s="2"/>
    </row>
    <row r="9" spans="1:8" x14ac:dyDescent="0.2">
      <c r="A9" s="3">
        <v>50</v>
      </c>
      <c r="B9">
        <v>5240</v>
      </c>
      <c r="C9" s="2">
        <f t="shared" ref="C9:C25" si="0">-B9</f>
        <v>-5240</v>
      </c>
      <c r="D9" s="2">
        <v>50</v>
      </c>
      <c r="F9">
        <f t="shared" ref="F9:F47" si="1">-LN(((1-(C9/$B$1))/2))</f>
        <v>0.15209799350951617</v>
      </c>
    </row>
    <row r="10" spans="1:8" x14ac:dyDescent="0.2">
      <c r="A10" s="3"/>
      <c r="C10" s="2"/>
      <c r="D10" s="2"/>
    </row>
    <row r="11" spans="1:8" x14ac:dyDescent="0.2">
      <c r="A11" s="3"/>
      <c r="C11" s="2"/>
      <c r="D11" s="2"/>
    </row>
    <row r="12" spans="1:8" x14ac:dyDescent="0.2">
      <c r="A12" s="3"/>
      <c r="C12" s="2"/>
      <c r="D12" s="2"/>
    </row>
    <row r="13" spans="1:8" x14ac:dyDescent="0.2">
      <c r="A13" s="3"/>
      <c r="C13" s="2"/>
      <c r="D13" s="2"/>
    </row>
    <row r="14" spans="1:8" x14ac:dyDescent="0.2">
      <c r="A14" s="3">
        <v>100</v>
      </c>
      <c r="B14">
        <v>3700</v>
      </c>
      <c r="C14" s="2">
        <f t="shared" si="0"/>
        <v>-3700</v>
      </c>
      <c r="D14" s="2">
        <v>50</v>
      </c>
      <c r="F14">
        <f t="shared" si="1"/>
        <v>0.28312625591592017</v>
      </c>
    </row>
    <row r="15" spans="1:8" x14ac:dyDescent="0.2">
      <c r="A15" s="3"/>
      <c r="C15" s="2"/>
      <c r="D15" s="2"/>
    </row>
    <row r="16" spans="1:8" x14ac:dyDescent="0.2">
      <c r="A16" s="3"/>
      <c r="C16" s="2"/>
      <c r="D16" s="2"/>
    </row>
    <row r="17" spans="1:6" x14ac:dyDescent="0.2">
      <c r="A17" s="3"/>
      <c r="C17" s="2"/>
      <c r="D17" s="2"/>
    </row>
    <row r="18" spans="1:6" x14ac:dyDescent="0.2">
      <c r="A18" s="3"/>
      <c r="C18" s="2"/>
      <c r="D18" s="2"/>
    </row>
    <row r="19" spans="1:6" x14ac:dyDescent="0.2">
      <c r="A19" s="3">
        <v>150</v>
      </c>
      <c r="B19">
        <v>2370</v>
      </c>
      <c r="C19" s="2">
        <f t="shared" si="0"/>
        <v>-2370</v>
      </c>
      <c r="D19" s="2">
        <v>50</v>
      </c>
      <c r="F19">
        <f t="shared" si="1"/>
        <v>0.41199321924908777</v>
      </c>
    </row>
    <row r="20" spans="1:6" x14ac:dyDescent="0.2">
      <c r="A20" s="3"/>
      <c r="C20" s="2"/>
      <c r="D20" s="2"/>
    </row>
    <row r="21" spans="1:6" x14ac:dyDescent="0.2">
      <c r="A21" s="3"/>
      <c r="C21" s="2"/>
      <c r="D21" s="2"/>
    </row>
    <row r="22" spans="1:6" x14ac:dyDescent="0.2">
      <c r="A22" s="3"/>
      <c r="C22" s="2"/>
      <c r="D22" s="2"/>
    </row>
    <row r="23" spans="1:6" x14ac:dyDescent="0.2">
      <c r="A23" s="3"/>
      <c r="C23" s="2"/>
      <c r="D23" s="2"/>
    </row>
    <row r="24" spans="1:6" x14ac:dyDescent="0.2">
      <c r="A24" s="3">
        <v>200</v>
      </c>
      <c r="B24">
        <v>1500</v>
      </c>
      <c r="C24" s="2">
        <f t="shared" si="0"/>
        <v>-1500</v>
      </c>
      <c r="D24" s="2">
        <v>50</v>
      </c>
      <c r="F24">
        <f t="shared" si="1"/>
        <v>0.50626980723013004</v>
      </c>
    </row>
    <row r="25" spans="1:6" x14ac:dyDescent="0.2">
      <c r="A25" s="3"/>
      <c r="C25" s="2">
        <f t="shared" si="0"/>
        <v>0</v>
      </c>
      <c r="F25">
        <f t="shared" si="1"/>
        <v>0.69314718055994529</v>
      </c>
    </row>
    <row r="26" spans="1:6" x14ac:dyDescent="0.2">
      <c r="A26" s="3"/>
      <c r="C26" s="2"/>
    </row>
    <row r="27" spans="1:6" x14ac:dyDescent="0.2">
      <c r="A27" s="3">
        <v>300</v>
      </c>
      <c r="B27">
        <v>1070</v>
      </c>
      <c r="C27" s="2">
        <f>B27</f>
        <v>1070</v>
      </c>
      <c r="F27">
        <f t="shared" si="1"/>
        <v>0.85164519591492904</v>
      </c>
    </row>
    <row r="28" spans="1:6" x14ac:dyDescent="0.2">
      <c r="A28" s="3"/>
      <c r="C28" s="2"/>
      <c r="F28">
        <f t="shared" si="1"/>
        <v>0.69314718055994529</v>
      </c>
    </row>
    <row r="29" spans="1:6" x14ac:dyDescent="0.2">
      <c r="A29" s="3">
        <v>350</v>
      </c>
      <c r="C29" s="2">
        <v>1850</v>
      </c>
      <c r="F29">
        <f t="shared" si="1"/>
        <v>0.98540592003913807</v>
      </c>
    </row>
    <row r="30" spans="1:6" x14ac:dyDescent="0.2">
      <c r="A30" s="3">
        <v>450</v>
      </c>
      <c r="C30" s="2">
        <v>3160</v>
      </c>
      <c r="D30" s="2"/>
      <c r="F30">
        <f t="shared" si="1"/>
        <v>1.2603257408770678</v>
      </c>
    </row>
    <row r="31" spans="1:6" x14ac:dyDescent="0.2">
      <c r="A31" s="3">
        <v>550</v>
      </c>
      <c r="C31" s="2">
        <v>4130</v>
      </c>
      <c r="D31" s="2"/>
      <c r="F31">
        <f t="shared" si="1"/>
        <v>1.5272899408251015</v>
      </c>
    </row>
    <row r="32" spans="1:6" x14ac:dyDescent="0.2">
      <c r="A32" s="3">
        <v>650</v>
      </c>
      <c r="C32" s="2">
        <v>4900</v>
      </c>
      <c r="F32">
        <f t="shared" si="1"/>
        <v>1.8055527913603908</v>
      </c>
    </row>
    <row r="33" spans="1:6" x14ac:dyDescent="0.2">
      <c r="A33" s="3">
        <v>750</v>
      </c>
      <c r="C33" s="2">
        <v>5460</v>
      </c>
      <c r="F33">
        <f t="shared" si="1"/>
        <v>2.0712559570933968</v>
      </c>
    </row>
    <row r="34" spans="1:6" x14ac:dyDescent="0.2">
      <c r="F34">
        <f t="shared" si="1"/>
        <v>0.69314718055994529</v>
      </c>
    </row>
    <row r="35" spans="1:6" x14ac:dyDescent="0.2">
      <c r="F35">
        <f t="shared" si="1"/>
        <v>0.69314718055994529</v>
      </c>
    </row>
    <row r="36" spans="1:6" x14ac:dyDescent="0.2">
      <c r="F36">
        <f t="shared" si="1"/>
        <v>0.69314718055994529</v>
      </c>
    </row>
    <row r="37" spans="1:6" x14ac:dyDescent="0.2">
      <c r="F37">
        <f t="shared" si="1"/>
        <v>0.69314718055994529</v>
      </c>
    </row>
    <row r="38" spans="1:6" x14ac:dyDescent="0.2">
      <c r="F38">
        <f t="shared" si="1"/>
        <v>0.69314718055994529</v>
      </c>
    </row>
    <row r="39" spans="1:6" x14ac:dyDescent="0.2">
      <c r="F39">
        <f t="shared" si="1"/>
        <v>0.69314718055994529</v>
      </c>
    </row>
    <row r="40" spans="1:6" x14ac:dyDescent="0.2">
      <c r="F40">
        <f t="shared" si="1"/>
        <v>0.69314718055994529</v>
      </c>
    </row>
    <row r="41" spans="1:6" x14ac:dyDescent="0.2">
      <c r="F41">
        <f t="shared" si="1"/>
        <v>0.69314718055994529</v>
      </c>
    </row>
    <row r="42" spans="1:6" x14ac:dyDescent="0.2">
      <c r="F42">
        <f t="shared" si="1"/>
        <v>0.69314718055994529</v>
      </c>
    </row>
    <row r="43" spans="1:6" x14ac:dyDescent="0.2">
      <c r="F43">
        <f t="shared" si="1"/>
        <v>0.69314718055994529</v>
      </c>
    </row>
    <row r="44" spans="1:6" x14ac:dyDescent="0.2">
      <c r="F44">
        <f t="shared" si="1"/>
        <v>0.69314718055994529</v>
      </c>
    </row>
    <row r="45" spans="1:6" x14ac:dyDescent="0.2">
      <c r="F45">
        <f t="shared" si="1"/>
        <v>0.69314718055994529</v>
      </c>
    </row>
    <row r="46" spans="1:6" x14ac:dyDescent="0.2">
      <c r="F46">
        <f t="shared" si="1"/>
        <v>0.69314718055994529</v>
      </c>
    </row>
    <row r="47" spans="1:6" x14ac:dyDescent="0.2">
      <c r="F47">
        <f t="shared" si="1"/>
        <v>0.69314718055994529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915E-CBEA-5840-B5E6-AA53593F7DFD}">
  <sheetPr codeName="Sheet11"/>
  <dimension ref="A1:K27"/>
  <sheetViews>
    <sheetView zoomScale="150" workbookViewId="0">
      <selection activeCell="H2" sqref="H2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6580</v>
      </c>
      <c r="D1" t="s">
        <v>0</v>
      </c>
      <c r="E1" t="s">
        <v>42</v>
      </c>
      <c r="G1" t="s">
        <v>43</v>
      </c>
      <c r="H1">
        <f>1/0.0005</f>
        <v>2000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100</v>
      </c>
      <c r="B5">
        <v>5480</v>
      </c>
      <c r="C5" s="2">
        <f>-B5</f>
        <v>-5480</v>
      </c>
      <c r="D5" s="2">
        <v>50</v>
      </c>
      <c r="F5">
        <f>-LN(((1-(C5/$B$1))/2))</f>
        <v>8.7287734598131841E-2</v>
      </c>
    </row>
    <row r="6" spans="1:8" x14ac:dyDescent="0.2">
      <c r="A6" s="3">
        <v>400</v>
      </c>
      <c r="B6">
        <v>4040</v>
      </c>
      <c r="C6" s="2">
        <f t="shared" ref="C6:C8" si="0">-B6</f>
        <v>-4040</v>
      </c>
      <c r="D6" s="2">
        <v>50</v>
      </c>
      <c r="F6">
        <f t="shared" ref="F6:F15" si="1">-LN(((1-(C6/$B$1))/2))</f>
        <v>0.21444291008337835</v>
      </c>
    </row>
    <row r="7" spans="1:8" x14ac:dyDescent="0.2">
      <c r="A7" s="3">
        <v>700</v>
      </c>
      <c r="B7">
        <v>2770</v>
      </c>
      <c r="C7" s="2">
        <f t="shared" si="0"/>
        <v>-2770</v>
      </c>
      <c r="D7" s="2">
        <v>50</v>
      </c>
      <c r="F7">
        <f t="shared" si="1"/>
        <v>0.34180558259657551</v>
      </c>
    </row>
    <row r="8" spans="1:8" x14ac:dyDescent="0.2">
      <c r="A8" s="3">
        <v>1000</v>
      </c>
      <c r="B8">
        <v>1760</v>
      </c>
      <c r="C8" s="2">
        <f t="shared" si="0"/>
        <v>-1760</v>
      </c>
      <c r="D8" s="2">
        <v>50</v>
      </c>
      <c r="F8">
        <f t="shared" si="1"/>
        <v>0.45611870952651573</v>
      </c>
    </row>
    <row r="9" spans="1:8" x14ac:dyDescent="0.2">
      <c r="A9" s="3">
        <v>1300</v>
      </c>
      <c r="C9" s="2">
        <v>-1013</v>
      </c>
      <c r="D9" s="2">
        <v>50</v>
      </c>
      <c r="F9">
        <f t="shared" si="1"/>
        <v>0.54995515566607445</v>
      </c>
    </row>
    <row r="10" spans="1:8" x14ac:dyDescent="0.2">
      <c r="A10" s="3">
        <v>1600</v>
      </c>
      <c r="C10" s="2">
        <v>430</v>
      </c>
      <c r="D10" s="2">
        <v>50</v>
      </c>
      <c r="F10">
        <f t="shared" si="1"/>
        <v>0.76072984407874467</v>
      </c>
    </row>
    <row r="11" spans="1:8" x14ac:dyDescent="0.2">
      <c r="A11" s="3">
        <v>1900</v>
      </c>
      <c r="C11" s="2">
        <v>1264</v>
      </c>
      <c r="D11" s="2">
        <v>50</v>
      </c>
      <c r="F11">
        <f t="shared" si="1"/>
        <v>0.90646078504617222</v>
      </c>
    </row>
    <row r="12" spans="1:8" x14ac:dyDescent="0.2">
      <c r="A12" s="3">
        <v>2200</v>
      </c>
      <c r="C12" s="2">
        <v>1980</v>
      </c>
      <c r="D12" s="2">
        <v>50</v>
      </c>
      <c r="F12">
        <f t="shared" si="1"/>
        <v>1.0511256224021219</v>
      </c>
    </row>
    <row r="13" spans="1:8" x14ac:dyDescent="0.2">
      <c r="A13" s="3">
        <v>2500</v>
      </c>
      <c r="C13" s="2">
        <v>2530</v>
      </c>
      <c r="D13" s="2">
        <v>50</v>
      </c>
      <c r="F13">
        <f t="shared" si="1"/>
        <v>1.1784650447787233</v>
      </c>
    </row>
    <row r="14" spans="1:8" x14ac:dyDescent="0.2">
      <c r="A14" s="3">
        <v>2800</v>
      </c>
      <c r="C14" s="2">
        <v>3090</v>
      </c>
      <c r="D14" s="2">
        <v>50</v>
      </c>
      <c r="F14">
        <f t="shared" si="1"/>
        <v>1.3272801896828355</v>
      </c>
    </row>
    <row r="15" spans="1:8" x14ac:dyDescent="0.2">
      <c r="A15" s="3">
        <v>3100</v>
      </c>
      <c r="C15" s="2">
        <v>3550</v>
      </c>
      <c r="D15" s="2"/>
      <c r="F15">
        <f t="shared" si="1"/>
        <v>1.4686193063758932</v>
      </c>
    </row>
    <row r="16" spans="1:8" x14ac:dyDescent="0.2">
      <c r="A16" s="3"/>
      <c r="C16" s="2"/>
      <c r="D16" s="2"/>
    </row>
    <row r="17" spans="1:11" x14ac:dyDescent="0.2">
      <c r="A17" s="3"/>
      <c r="C17" s="2"/>
      <c r="D17" s="2"/>
    </row>
    <row r="18" spans="1:11" x14ac:dyDescent="0.2">
      <c r="A18" s="3"/>
      <c r="C18" s="2"/>
      <c r="D18" s="2"/>
    </row>
    <row r="19" spans="1:11" x14ac:dyDescent="0.2">
      <c r="C19" s="2"/>
      <c r="D19" s="2"/>
    </row>
    <row r="20" spans="1:11" x14ac:dyDescent="0.2">
      <c r="A20" s="3"/>
      <c r="C20" s="2"/>
      <c r="D20" s="2"/>
    </row>
    <row r="21" spans="1:11" x14ac:dyDescent="0.2">
      <c r="A21" s="3"/>
      <c r="C21" s="2"/>
      <c r="K21" t="s">
        <v>44</v>
      </c>
    </row>
    <row r="22" spans="1:11" x14ac:dyDescent="0.2">
      <c r="A22" s="3"/>
      <c r="C22" s="2"/>
    </row>
    <row r="23" spans="1:11" x14ac:dyDescent="0.2">
      <c r="A23" s="3"/>
      <c r="C23" s="2"/>
    </row>
    <row r="24" spans="1:11" x14ac:dyDescent="0.2">
      <c r="A24" s="3"/>
      <c r="C24" s="2"/>
    </row>
    <row r="26" spans="1:11" x14ac:dyDescent="0.2">
      <c r="A26" s="3"/>
      <c r="C26" s="2"/>
      <c r="D26" s="2"/>
    </row>
    <row r="27" spans="1:11" x14ac:dyDescent="0.2">
      <c r="A27" s="3">
        <v>621627</v>
      </c>
      <c r="C27" s="2"/>
      <c r="D27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7CC7-C0E2-8444-8E21-58BFFC58EF2D}">
  <sheetPr codeName="Sheet12"/>
  <dimension ref="A1:H27"/>
  <sheetViews>
    <sheetView zoomScale="135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6624</v>
      </c>
      <c r="D1" t="s">
        <v>0</v>
      </c>
      <c r="E1" t="s">
        <v>42</v>
      </c>
      <c r="G1" t="s">
        <v>43</v>
      </c>
      <c r="H1">
        <f>1/0.0008</f>
        <v>1250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50</v>
      </c>
      <c r="B5">
        <v>5540</v>
      </c>
      <c r="C5" s="2">
        <f>-B5</f>
        <v>-5540</v>
      </c>
      <c r="D5" s="2">
        <v>50</v>
      </c>
      <c r="F5">
        <f>-LN(((1-(C5/$B$1))/2))</f>
        <v>8.5365827827785637E-2</v>
      </c>
    </row>
    <row r="6" spans="1:8" x14ac:dyDescent="0.2">
      <c r="A6" s="3">
        <v>100</v>
      </c>
      <c r="B6">
        <v>5200</v>
      </c>
      <c r="C6" s="2">
        <f t="shared" ref="C6:C15" si="0">-B6</f>
        <v>-5200</v>
      </c>
      <c r="D6" s="2">
        <v>50</v>
      </c>
      <c r="F6">
        <f t="shared" ref="F6:F24" si="1">-LN(((1-(C6/$B$1))/2))</f>
        <v>0.11371523343705796</v>
      </c>
    </row>
    <row r="7" spans="1:8" x14ac:dyDescent="0.2">
      <c r="A7" s="3">
        <v>150</v>
      </c>
      <c r="B7">
        <v>4780</v>
      </c>
      <c r="C7" s="2">
        <f t="shared" si="0"/>
        <v>-4780</v>
      </c>
      <c r="D7" s="2">
        <v>50</v>
      </c>
      <c r="F7">
        <f t="shared" si="1"/>
        <v>0.14988242659247833</v>
      </c>
    </row>
    <row r="8" spans="1:8" x14ac:dyDescent="0.2">
      <c r="A8" s="3">
        <v>200</v>
      </c>
      <c r="B8">
        <v>4444</v>
      </c>
      <c r="C8" s="2">
        <f t="shared" si="0"/>
        <v>-4444</v>
      </c>
      <c r="D8" s="2">
        <v>50</v>
      </c>
      <c r="F8">
        <f t="shared" si="1"/>
        <v>0.17978853571822442</v>
      </c>
    </row>
    <row r="9" spans="1:8" x14ac:dyDescent="0.2">
      <c r="A9" s="3">
        <v>300</v>
      </c>
      <c r="B9">
        <v>3640</v>
      </c>
      <c r="C9" s="2">
        <f t="shared" si="0"/>
        <v>-3640</v>
      </c>
      <c r="D9" s="2">
        <v>50</v>
      </c>
      <c r="F9">
        <f t="shared" si="1"/>
        <v>0.2552039703295686</v>
      </c>
    </row>
    <row r="10" spans="1:8" x14ac:dyDescent="0.2">
      <c r="A10" s="3">
        <v>400</v>
      </c>
      <c r="B10">
        <v>3010</v>
      </c>
      <c r="C10" s="2">
        <f t="shared" si="0"/>
        <v>-3010</v>
      </c>
      <c r="D10" s="2">
        <v>50</v>
      </c>
      <c r="F10">
        <f t="shared" si="1"/>
        <v>0.31854808943487478</v>
      </c>
    </row>
    <row r="11" spans="1:8" x14ac:dyDescent="0.2">
      <c r="A11" s="3">
        <v>500</v>
      </c>
      <c r="B11">
        <v>2300</v>
      </c>
      <c r="C11" s="2">
        <f t="shared" si="0"/>
        <v>-2300</v>
      </c>
      <c r="D11" s="2">
        <v>50</v>
      </c>
      <c r="F11">
        <f t="shared" si="1"/>
        <v>0.39510232107261772</v>
      </c>
    </row>
    <row r="12" spans="1:8" x14ac:dyDescent="0.2">
      <c r="A12" s="3">
        <v>600</v>
      </c>
      <c r="B12">
        <v>1960</v>
      </c>
      <c r="C12" s="2">
        <f t="shared" si="0"/>
        <v>-1960</v>
      </c>
      <c r="D12" s="2">
        <v>50</v>
      </c>
      <c r="F12">
        <f t="shared" si="1"/>
        <v>0.43394659231450655</v>
      </c>
    </row>
    <row r="13" spans="1:8" x14ac:dyDescent="0.2">
      <c r="A13" s="3">
        <v>700</v>
      </c>
      <c r="B13">
        <v>1570</v>
      </c>
      <c r="C13" s="2">
        <f t="shared" si="0"/>
        <v>-1570</v>
      </c>
      <c r="D13" s="2">
        <v>50</v>
      </c>
      <c r="F13">
        <f t="shared" si="1"/>
        <v>0.48044441851822456</v>
      </c>
    </row>
    <row r="14" spans="1:8" x14ac:dyDescent="0.2">
      <c r="A14" s="3">
        <v>800</v>
      </c>
      <c r="B14">
        <v>1260</v>
      </c>
      <c r="C14" s="2">
        <f t="shared" si="0"/>
        <v>-1260</v>
      </c>
      <c r="D14" s="2">
        <v>50</v>
      </c>
      <c r="F14">
        <f t="shared" si="1"/>
        <v>0.51901120835243009</v>
      </c>
    </row>
    <row r="15" spans="1:8" x14ac:dyDescent="0.2">
      <c r="A15" s="3">
        <v>900</v>
      </c>
      <c r="B15">
        <v>960</v>
      </c>
      <c r="C15" s="2">
        <f t="shared" si="0"/>
        <v>-960</v>
      </c>
      <c r="D15" s="2">
        <v>50</v>
      </c>
      <c r="F15">
        <f t="shared" si="1"/>
        <v>0.55780583269018325</v>
      </c>
    </row>
    <row r="16" spans="1:8" x14ac:dyDescent="0.2">
      <c r="A16" s="3">
        <v>1000</v>
      </c>
      <c r="B16">
        <v>670</v>
      </c>
      <c r="C16" s="2">
        <f>B16</f>
        <v>670</v>
      </c>
      <c r="D16" s="2">
        <v>50</v>
      </c>
      <c r="F16">
        <f t="shared" si="1"/>
        <v>0.7997833350493192</v>
      </c>
    </row>
    <row r="17" spans="1:6" x14ac:dyDescent="0.2">
      <c r="A17" s="3">
        <v>1100</v>
      </c>
      <c r="B17">
        <v>920</v>
      </c>
      <c r="C17" s="2">
        <v>920</v>
      </c>
      <c r="D17" s="2">
        <v>50</v>
      </c>
      <c r="F17">
        <f t="shared" si="1"/>
        <v>0.84267891453090904</v>
      </c>
    </row>
    <row r="18" spans="1:6" x14ac:dyDescent="0.2">
      <c r="A18" s="3">
        <v>1200</v>
      </c>
      <c r="C18" s="2">
        <v>1370</v>
      </c>
      <c r="D18" s="2">
        <v>50</v>
      </c>
      <c r="F18">
        <f t="shared" si="1"/>
        <v>0.92485690637955575</v>
      </c>
    </row>
    <row r="19" spans="1:6" x14ac:dyDescent="0.2">
      <c r="A19" s="3">
        <v>1300</v>
      </c>
      <c r="C19" s="2">
        <v>1785</v>
      </c>
      <c r="D19" s="2">
        <v>50</v>
      </c>
      <c r="F19">
        <f t="shared" si="1"/>
        <v>1.0071385098317225</v>
      </c>
    </row>
    <row r="20" spans="1:6" x14ac:dyDescent="0.2">
      <c r="A20" s="3">
        <v>1400</v>
      </c>
      <c r="C20" s="2">
        <v>2270</v>
      </c>
      <c r="D20" s="2">
        <v>50</v>
      </c>
      <c r="F20">
        <f t="shared" si="1"/>
        <v>1.1127516348305482</v>
      </c>
    </row>
    <row r="21" spans="1:6" x14ac:dyDescent="0.2">
      <c r="A21" s="3">
        <v>1600</v>
      </c>
      <c r="C21" s="2">
        <v>3000</v>
      </c>
      <c r="F21">
        <f t="shared" si="1"/>
        <v>1.2962682094621709</v>
      </c>
    </row>
    <row r="22" spans="1:6" x14ac:dyDescent="0.2">
      <c r="A22" s="3">
        <v>1800</v>
      </c>
      <c r="C22" s="2">
        <v>3285</v>
      </c>
      <c r="F22">
        <f t="shared" si="1"/>
        <v>1.3781752366813864</v>
      </c>
    </row>
    <row r="23" spans="1:6" x14ac:dyDescent="0.2">
      <c r="A23" s="3">
        <v>2000</v>
      </c>
      <c r="C23" s="2">
        <v>3847</v>
      </c>
      <c r="F23">
        <f t="shared" si="1"/>
        <v>1.5624753893182415</v>
      </c>
    </row>
    <row r="24" spans="1:6" x14ac:dyDescent="0.2">
      <c r="A24" s="3">
        <v>2200</v>
      </c>
      <c r="C24" s="2">
        <v>4395</v>
      </c>
      <c r="F24">
        <f t="shared" si="1"/>
        <v>1.7822935432391722</v>
      </c>
    </row>
    <row r="26" spans="1:6" x14ac:dyDescent="0.2">
      <c r="A26" s="3"/>
      <c r="C26" s="2"/>
      <c r="D26" s="2"/>
    </row>
    <row r="27" spans="1:6" x14ac:dyDescent="0.2">
      <c r="A27" s="3"/>
      <c r="C27" s="2"/>
      <c r="D27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5B4-5D5C-AD48-9B70-5A5BFDB72040}">
  <sheetPr codeName="Sheet13"/>
  <dimension ref="A1:K27"/>
  <sheetViews>
    <sheetView zoomScale="125" workbookViewId="0">
      <selection activeCell="K1" sqref="K1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3250</v>
      </c>
      <c r="D1" t="s">
        <v>0</v>
      </c>
      <c r="E1" t="s">
        <v>42</v>
      </c>
      <c r="G1" t="s">
        <v>43</v>
      </c>
      <c r="H1">
        <f>1/0.001</f>
        <v>1000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100</v>
      </c>
      <c r="B5">
        <v>2630</v>
      </c>
      <c r="C5" s="2">
        <f>-B5</f>
        <v>-2630</v>
      </c>
      <c r="D5" s="2">
        <v>50</v>
      </c>
      <c r="F5">
        <f>-LN(((1-(C5/$B$1))/2))</f>
        <v>0.1002454149910559</v>
      </c>
    </row>
    <row r="6" spans="1:8" x14ac:dyDescent="0.2">
      <c r="A6" s="3">
        <v>400</v>
      </c>
      <c r="B6">
        <v>1650</v>
      </c>
      <c r="C6" s="2">
        <f t="shared" ref="C6:C9" si="0">-B6</f>
        <v>-1650</v>
      </c>
      <c r="D6" s="2">
        <v>50</v>
      </c>
      <c r="F6">
        <f t="shared" ref="F6:F14" si="1">-LN(((1-(C6/$B$1))/2))</f>
        <v>0.2825669717850105</v>
      </c>
    </row>
    <row r="7" spans="1:8" x14ac:dyDescent="0.2">
      <c r="A7" s="3">
        <v>700</v>
      </c>
      <c r="B7">
        <v>860</v>
      </c>
      <c r="C7" s="2">
        <f t="shared" si="0"/>
        <v>-860</v>
      </c>
      <c r="D7" s="2">
        <v>50</v>
      </c>
      <c r="F7">
        <f t="shared" si="1"/>
        <v>0.45837914839344812</v>
      </c>
    </row>
    <row r="8" spans="1:8" x14ac:dyDescent="0.2">
      <c r="A8" s="3">
        <v>1000</v>
      </c>
      <c r="C8" s="2">
        <f t="shared" si="0"/>
        <v>0</v>
      </c>
      <c r="D8" s="2">
        <v>50</v>
      </c>
      <c r="F8">
        <f t="shared" si="1"/>
        <v>0.69314718055994529</v>
      </c>
    </row>
    <row r="9" spans="1:8" x14ac:dyDescent="0.2">
      <c r="A9" s="3">
        <v>1300</v>
      </c>
      <c r="C9" s="2">
        <f t="shared" si="0"/>
        <v>0</v>
      </c>
      <c r="D9" s="2">
        <v>50</v>
      </c>
      <c r="F9">
        <f t="shared" si="1"/>
        <v>0.69314718055994529</v>
      </c>
    </row>
    <row r="10" spans="1:8" x14ac:dyDescent="0.2">
      <c r="A10" s="3">
        <v>1600</v>
      </c>
      <c r="C10" s="2">
        <v>1270</v>
      </c>
      <c r="D10" s="2">
        <v>50</v>
      </c>
      <c r="F10">
        <f t="shared" si="1"/>
        <v>1.1887053321951475</v>
      </c>
    </row>
    <row r="11" spans="1:8" x14ac:dyDescent="0.2">
      <c r="A11" s="3">
        <v>1900</v>
      </c>
      <c r="C11" s="2">
        <v>1820</v>
      </c>
      <c r="D11" s="2">
        <v>50</v>
      </c>
      <c r="F11">
        <f t="shared" si="1"/>
        <v>1.5141277326297757</v>
      </c>
    </row>
    <row r="12" spans="1:8" x14ac:dyDescent="0.2">
      <c r="A12" s="3">
        <v>2200</v>
      </c>
      <c r="C12" s="2">
        <v>2210</v>
      </c>
      <c r="D12" s="2">
        <v>50</v>
      </c>
      <c r="F12">
        <f t="shared" si="1"/>
        <v>1.8325814637483102</v>
      </c>
    </row>
    <row r="13" spans="1:8" x14ac:dyDescent="0.2">
      <c r="A13" s="3">
        <v>2500</v>
      </c>
      <c r="C13" s="2">
        <v>2620</v>
      </c>
      <c r="D13" s="2">
        <v>50</v>
      </c>
      <c r="F13">
        <f t="shared" si="1"/>
        <v>2.3338376364981497</v>
      </c>
    </row>
    <row r="14" spans="1:8" x14ac:dyDescent="0.2">
      <c r="A14" s="3">
        <v>2800</v>
      </c>
      <c r="C14" s="2">
        <v>2970</v>
      </c>
      <c r="D14" s="2">
        <v>50</v>
      </c>
      <c r="F14">
        <f t="shared" si="1"/>
        <v>3.1447678527144789</v>
      </c>
    </row>
    <row r="15" spans="1:8" x14ac:dyDescent="0.2">
      <c r="A15" s="3">
        <v>3100</v>
      </c>
      <c r="C15" s="2"/>
      <c r="D15" s="2"/>
    </row>
    <row r="16" spans="1:8" x14ac:dyDescent="0.2">
      <c r="A16" s="3"/>
      <c r="C16" s="2"/>
      <c r="D16" s="2"/>
    </row>
    <row r="17" spans="1:11" x14ac:dyDescent="0.2">
      <c r="A17" s="3"/>
      <c r="C17" s="2"/>
      <c r="D17" s="2"/>
    </row>
    <row r="18" spans="1:11" x14ac:dyDescent="0.2">
      <c r="A18" s="3"/>
      <c r="C18" s="2"/>
      <c r="D18" s="2"/>
    </row>
    <row r="19" spans="1:11" x14ac:dyDescent="0.2">
      <c r="A19" s="3"/>
      <c r="C19" s="2"/>
      <c r="D19" s="2"/>
    </row>
    <row r="20" spans="1:11" x14ac:dyDescent="0.2">
      <c r="A20" s="3"/>
      <c r="C20" s="2"/>
      <c r="D20" s="2"/>
    </row>
    <row r="21" spans="1:11" x14ac:dyDescent="0.2">
      <c r="A21" s="3"/>
      <c r="C21" s="2"/>
      <c r="K21" t="s">
        <v>44</v>
      </c>
    </row>
    <row r="22" spans="1:11" x14ac:dyDescent="0.2">
      <c r="A22" s="3"/>
      <c r="C22" s="2"/>
    </row>
    <row r="23" spans="1:11" x14ac:dyDescent="0.2">
      <c r="A23" s="3"/>
      <c r="C23" s="2"/>
    </row>
    <row r="24" spans="1:11" x14ac:dyDescent="0.2">
      <c r="A24" s="3"/>
      <c r="C24" s="2"/>
    </row>
    <row r="26" spans="1:11" x14ac:dyDescent="0.2">
      <c r="A26" s="3"/>
      <c r="C26" s="2"/>
      <c r="D26" s="2"/>
    </row>
    <row r="27" spans="1:11" x14ac:dyDescent="0.2">
      <c r="A27" s="3"/>
      <c r="C27" s="2"/>
      <c r="D27" s="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5818-81E1-164D-9B07-EC8A08A87007}">
  <sheetPr codeName="Sheet14"/>
  <dimension ref="A1:K27"/>
  <sheetViews>
    <sheetView zoomScale="125" workbookViewId="0">
      <selection activeCell="H2" sqref="H2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3963</v>
      </c>
      <c r="D1" t="s">
        <v>0</v>
      </c>
      <c r="E1" t="s">
        <v>42</v>
      </c>
      <c r="G1" t="s">
        <v>43</v>
      </c>
      <c r="H1">
        <f>1/0.0005</f>
        <v>2000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100</v>
      </c>
      <c r="C5" s="2">
        <v>-3650</v>
      </c>
      <c r="D5" s="2">
        <v>50</v>
      </c>
      <c r="F5">
        <f>-LN(((1-(C5/$B$1))/2))</f>
        <v>4.0291182444167711E-2</v>
      </c>
    </row>
    <row r="6" spans="1:8" x14ac:dyDescent="0.2">
      <c r="A6" s="3">
        <v>400</v>
      </c>
      <c r="C6" s="2">
        <v>-2775</v>
      </c>
      <c r="D6" s="2">
        <v>50</v>
      </c>
      <c r="F6">
        <f t="shared" ref="F6:F10" si="0">-LN(((1-(C6/$B$1))/2))</f>
        <v>0.16238534978388222</v>
      </c>
    </row>
    <row r="7" spans="1:8" x14ac:dyDescent="0.2">
      <c r="A7" s="3">
        <v>700</v>
      </c>
      <c r="C7" s="2">
        <v>-2060</v>
      </c>
      <c r="D7" s="2">
        <v>50</v>
      </c>
      <c r="F7">
        <f t="shared" si="0"/>
        <v>0.27456302070665917</v>
      </c>
    </row>
    <row r="8" spans="1:8" x14ac:dyDescent="0.2">
      <c r="A8" s="3">
        <v>1000</v>
      </c>
      <c r="C8" s="2">
        <v>-1500</v>
      </c>
      <c r="D8" s="2">
        <v>50</v>
      </c>
      <c r="F8">
        <f t="shared" si="0"/>
        <v>0.37215040535466271</v>
      </c>
    </row>
    <row r="9" spans="1:8" x14ac:dyDescent="0.2">
      <c r="A9" s="3">
        <v>1300</v>
      </c>
      <c r="C9" s="2">
        <v>-1180</v>
      </c>
      <c r="D9" s="2">
        <v>50</v>
      </c>
      <c r="F9">
        <f t="shared" si="0"/>
        <v>0.43251192797546412</v>
      </c>
    </row>
    <row r="10" spans="1:8" x14ac:dyDescent="0.2">
      <c r="A10" s="3">
        <v>1600</v>
      </c>
      <c r="C10" s="2">
        <v>-200</v>
      </c>
      <c r="D10" s="2">
        <v>50</v>
      </c>
      <c r="F10">
        <f t="shared" si="0"/>
        <v>0.64391252655540487</v>
      </c>
    </row>
    <row r="11" spans="1:8" x14ac:dyDescent="0.2">
      <c r="A11" s="3">
        <v>2500</v>
      </c>
      <c r="C11" s="2">
        <v>1481</v>
      </c>
      <c r="D11" s="2">
        <v>50</v>
      </c>
      <c r="F11">
        <f>-LN(((1-(C11/$B$1))/2))</f>
        <v>1.1610838079858279</v>
      </c>
    </row>
    <row r="12" spans="1:8" x14ac:dyDescent="0.2">
      <c r="A12" s="3">
        <v>3100</v>
      </c>
      <c r="C12" s="2">
        <v>2140</v>
      </c>
      <c r="D12" s="2"/>
      <c r="F12">
        <f>-LN(((1-(C12/$B$1))/2))</f>
        <v>1.4696649990717172</v>
      </c>
    </row>
    <row r="13" spans="1:8" x14ac:dyDescent="0.2">
      <c r="A13" s="3">
        <v>4000</v>
      </c>
      <c r="C13" s="2">
        <v>2800</v>
      </c>
      <c r="D13" s="2"/>
      <c r="F13">
        <f>-LN(((1-(C13/$B$1))/2))</f>
        <v>1.9191456212317157</v>
      </c>
    </row>
    <row r="17" spans="1:11" x14ac:dyDescent="0.2">
      <c r="A17" s="3"/>
      <c r="C17" s="2"/>
      <c r="D17" s="2"/>
    </row>
    <row r="18" spans="1:11" x14ac:dyDescent="0.2">
      <c r="A18" s="3"/>
      <c r="C18" s="2"/>
      <c r="D18" s="2"/>
    </row>
    <row r="19" spans="1:11" x14ac:dyDescent="0.2">
      <c r="C19" s="2"/>
      <c r="D19" s="2"/>
    </row>
    <row r="20" spans="1:11" x14ac:dyDescent="0.2">
      <c r="A20" s="3"/>
      <c r="C20" s="2"/>
      <c r="D20" s="2"/>
    </row>
    <row r="21" spans="1:11" x14ac:dyDescent="0.2">
      <c r="A21" s="3"/>
      <c r="C21" s="2"/>
      <c r="K21" t="s">
        <v>44</v>
      </c>
    </row>
    <row r="22" spans="1:11" x14ac:dyDescent="0.2">
      <c r="A22" s="3"/>
      <c r="C22" s="2"/>
    </row>
    <row r="23" spans="1:11" x14ac:dyDescent="0.2">
      <c r="A23" s="3"/>
      <c r="C23" s="2"/>
    </row>
    <row r="24" spans="1:11" x14ac:dyDescent="0.2">
      <c r="A24" s="3"/>
      <c r="C24" s="2"/>
    </row>
    <row r="26" spans="1:11" x14ac:dyDescent="0.2">
      <c r="A26" s="3"/>
      <c r="C26" s="2"/>
      <c r="D26" s="2"/>
    </row>
    <row r="27" spans="1:11" x14ac:dyDescent="0.2">
      <c r="A27" s="3">
        <v>621627</v>
      </c>
      <c r="C27" s="2"/>
      <c r="D27" s="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17E0-876F-C445-BB30-78A813746A9A}">
  <sheetPr codeName="Sheet15"/>
  <dimension ref="A1:H29"/>
  <sheetViews>
    <sheetView zoomScale="140" workbookViewId="0">
      <selection activeCell="A5" sqref="A5:F13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8030</v>
      </c>
      <c r="D1" t="s">
        <v>0</v>
      </c>
      <c r="E1" t="s">
        <v>47</v>
      </c>
      <c r="G1" t="s">
        <v>43</v>
      </c>
      <c r="H1">
        <f>1/0.015</f>
        <v>66.666666666666671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</v>
      </c>
      <c r="B5">
        <v>6750</v>
      </c>
      <c r="C5" s="2">
        <f>-B5</f>
        <v>-6750</v>
      </c>
      <c r="D5" s="2">
        <v>100</v>
      </c>
      <c r="F5">
        <f>-LN(((1-(C5/$B$1))/2))</f>
        <v>8.3056792998559878E-2</v>
      </c>
    </row>
    <row r="6" spans="1:8" x14ac:dyDescent="0.2">
      <c r="A6" s="3">
        <v>2</v>
      </c>
      <c r="B6">
        <v>5830</v>
      </c>
      <c r="C6" s="2">
        <f t="shared" ref="C6:C12" si="0">-B6</f>
        <v>-5830</v>
      </c>
      <c r="D6" s="2">
        <v>100</v>
      </c>
      <c r="F6">
        <f t="shared" ref="F6:F13" si="1">-LN(((1-(C6/$B$1))/2))</f>
        <v>0.14732471475685843</v>
      </c>
    </row>
    <row r="7" spans="1:8" x14ac:dyDescent="0.2">
      <c r="A7" s="3">
        <v>3</v>
      </c>
      <c r="B7">
        <v>5040</v>
      </c>
      <c r="C7" s="2">
        <f t="shared" si="0"/>
        <v>-5040</v>
      </c>
      <c r="D7" s="2">
        <v>100</v>
      </c>
      <c r="F7">
        <f t="shared" si="1"/>
        <v>0.20601218088248513</v>
      </c>
    </row>
    <row r="8" spans="1:8" x14ac:dyDescent="0.2">
      <c r="A8" s="3">
        <v>4</v>
      </c>
      <c r="B8">
        <v>4250</v>
      </c>
      <c r="C8" s="2">
        <f t="shared" si="0"/>
        <v>-4250</v>
      </c>
      <c r="D8" s="2">
        <v>100</v>
      </c>
      <c r="F8">
        <f t="shared" si="1"/>
        <v>0.26835978579961928</v>
      </c>
    </row>
    <row r="9" spans="1:8" x14ac:dyDescent="0.2">
      <c r="A9" s="3">
        <v>5</v>
      </c>
      <c r="B9">
        <v>3560</v>
      </c>
      <c r="C9" s="2">
        <f t="shared" si="0"/>
        <v>-3560</v>
      </c>
      <c r="D9" s="2">
        <v>100</v>
      </c>
      <c r="F9">
        <f t="shared" si="1"/>
        <v>0.32618905116695529</v>
      </c>
    </row>
    <row r="10" spans="1:8" x14ac:dyDescent="0.2">
      <c r="A10" s="3">
        <v>6</v>
      </c>
      <c r="B10">
        <v>2970</v>
      </c>
      <c r="C10" s="2">
        <f t="shared" si="0"/>
        <v>-2970</v>
      </c>
      <c r="D10" s="2">
        <v>100</v>
      </c>
      <c r="F10">
        <f t="shared" si="1"/>
        <v>0.3784364357202451</v>
      </c>
    </row>
    <row r="11" spans="1:8" x14ac:dyDescent="0.2">
      <c r="A11" s="3">
        <v>7</v>
      </c>
      <c r="B11">
        <v>2270</v>
      </c>
      <c r="C11" s="2">
        <f t="shared" si="0"/>
        <v>-2270</v>
      </c>
      <c r="D11" s="2">
        <v>100</v>
      </c>
      <c r="F11">
        <f t="shared" si="1"/>
        <v>0.44418781328302553</v>
      </c>
    </row>
    <row r="12" spans="1:8" x14ac:dyDescent="0.2">
      <c r="A12" s="3">
        <v>8</v>
      </c>
      <c r="B12">
        <v>1600</v>
      </c>
      <c r="C12" s="2">
        <f t="shared" si="0"/>
        <v>-1600</v>
      </c>
      <c r="D12" s="2">
        <v>100</v>
      </c>
      <c r="F12">
        <f t="shared" si="1"/>
        <v>0.51144848270858145</v>
      </c>
    </row>
    <row r="13" spans="1:8" x14ac:dyDescent="0.2">
      <c r="A13" s="3">
        <v>9</v>
      </c>
      <c r="B13">
        <v>900</v>
      </c>
      <c r="C13" s="2">
        <v>-900</v>
      </c>
      <c r="D13" s="2">
        <v>100</v>
      </c>
      <c r="F13">
        <f t="shared" si="1"/>
        <v>0.58691531363020788</v>
      </c>
    </row>
    <row r="14" spans="1:8" x14ac:dyDescent="0.2">
      <c r="A14" s="3"/>
      <c r="C14" s="2"/>
      <c r="D14" s="2"/>
    </row>
    <row r="15" spans="1:8" x14ac:dyDescent="0.2">
      <c r="A15" s="3"/>
      <c r="C15" s="2"/>
      <c r="D15" s="2"/>
    </row>
    <row r="16" spans="1:8" x14ac:dyDescent="0.2">
      <c r="A16" s="3"/>
      <c r="C16" s="2"/>
      <c r="D16" s="2"/>
    </row>
    <row r="17" spans="1:4" x14ac:dyDescent="0.2">
      <c r="A17" s="3"/>
      <c r="C17" s="2"/>
      <c r="D17" s="2"/>
    </row>
    <row r="18" spans="1:4" x14ac:dyDescent="0.2">
      <c r="A18" s="3"/>
      <c r="C18" s="2"/>
      <c r="D18" s="2"/>
    </row>
    <row r="19" spans="1:4" x14ac:dyDescent="0.2">
      <c r="A19" s="3"/>
      <c r="C19" s="2"/>
      <c r="D19" s="2"/>
    </row>
    <row r="20" spans="1:4" x14ac:dyDescent="0.2">
      <c r="A20" s="3"/>
      <c r="C20" s="2"/>
      <c r="D20" s="2"/>
    </row>
    <row r="21" spans="1:4" x14ac:dyDescent="0.2">
      <c r="A21" s="3"/>
      <c r="C21" s="2"/>
      <c r="D21" s="2"/>
    </row>
    <row r="22" spans="1:4" x14ac:dyDescent="0.2">
      <c r="A22" s="3"/>
      <c r="C22" s="2"/>
      <c r="D22" s="2"/>
    </row>
    <row r="23" spans="1:4" x14ac:dyDescent="0.2">
      <c r="A23" s="3"/>
      <c r="C23" s="2"/>
    </row>
    <row r="24" spans="1:4" x14ac:dyDescent="0.2">
      <c r="A24" s="3"/>
      <c r="C24" s="2"/>
    </row>
    <row r="28" spans="1:4" x14ac:dyDescent="0.2">
      <c r="A28" s="3"/>
      <c r="C28" s="2"/>
      <c r="D28" s="2"/>
    </row>
    <row r="29" spans="1:4" x14ac:dyDescent="0.2">
      <c r="A29" s="3"/>
      <c r="C29" s="2"/>
      <c r="D29" s="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ED25-1907-D74D-BE60-172C7E258FC0}">
  <sheetPr codeName="Sheet16"/>
  <dimension ref="A1:I26"/>
  <sheetViews>
    <sheetView tabSelected="1" zoomScale="125" workbookViewId="0">
      <selection activeCell="D9" sqref="D9"/>
    </sheetView>
  </sheetViews>
  <sheetFormatPr baseColWidth="10" defaultRowHeight="16" x14ac:dyDescent="0.2"/>
  <cols>
    <col min="4" max="4" width="18" customWidth="1"/>
  </cols>
  <sheetData>
    <row r="1" spans="1:9" x14ac:dyDescent="0.2">
      <c r="A1" s="3" t="s">
        <v>18</v>
      </c>
      <c r="B1" s="6">
        <v>7708</v>
      </c>
      <c r="D1" t="s">
        <v>0</v>
      </c>
      <c r="E1" t="s">
        <v>42</v>
      </c>
      <c r="G1" t="s">
        <v>43</v>
      </c>
      <c r="H1">
        <f>1/0.015</f>
        <v>66.666666666666671</v>
      </c>
    </row>
    <row r="2" spans="1:9" x14ac:dyDescent="0.2">
      <c r="A2" s="3" t="s">
        <v>17</v>
      </c>
      <c r="B2" s="2">
        <v>40</v>
      </c>
    </row>
    <row r="3" spans="1:9" x14ac:dyDescent="0.2">
      <c r="G3" t="s">
        <v>45</v>
      </c>
      <c r="I3" t="s">
        <v>46</v>
      </c>
    </row>
    <row r="4" spans="1:9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9" x14ac:dyDescent="0.2">
      <c r="A5" s="3">
        <v>10</v>
      </c>
      <c r="B5">
        <v>5505</v>
      </c>
      <c r="C5" s="2">
        <f>-B5</f>
        <v>-5505</v>
      </c>
      <c r="D5" s="2">
        <v>50</v>
      </c>
      <c r="F5">
        <f>-LN(((1-(C5/$B$1))/2))</f>
        <v>0.15420473767998541</v>
      </c>
    </row>
    <row r="6" spans="1:9" x14ac:dyDescent="0.2">
      <c r="A6" s="3">
        <v>30</v>
      </c>
      <c r="B6">
        <v>2563</v>
      </c>
      <c r="C6" s="2">
        <f t="shared" ref="C6" si="0">-B6</f>
        <v>-2563</v>
      </c>
      <c r="D6" s="2">
        <v>50</v>
      </c>
      <c r="F6">
        <f t="shared" ref="F6:F13" si="1">-LN(((1-(C6/$B$1))/2))</f>
        <v>0.40608154092839804</v>
      </c>
    </row>
    <row r="7" spans="1:9" x14ac:dyDescent="0.2">
      <c r="A7" s="3">
        <v>70</v>
      </c>
      <c r="B7">
        <v>2208</v>
      </c>
      <c r="C7" s="2">
        <f t="shared" ref="C7:C9" si="2">B7</f>
        <v>2208</v>
      </c>
      <c r="D7" s="2">
        <v>50</v>
      </c>
      <c r="F7">
        <f t="shared" si="1"/>
        <v>1.03065783887364</v>
      </c>
    </row>
    <row r="8" spans="1:9" x14ac:dyDescent="0.2">
      <c r="A8" s="3">
        <v>90</v>
      </c>
      <c r="B8">
        <v>3194</v>
      </c>
      <c r="C8" s="2">
        <f t="shared" si="2"/>
        <v>3194</v>
      </c>
      <c r="D8" s="2">
        <v>50</v>
      </c>
      <c r="F8">
        <f t="shared" si="1"/>
        <v>1.2282222527167213</v>
      </c>
    </row>
    <row r="9" spans="1:9" x14ac:dyDescent="0.2">
      <c r="A9" s="3">
        <v>100</v>
      </c>
      <c r="B9">
        <v>3743</v>
      </c>
      <c r="C9" s="2">
        <f t="shared" si="2"/>
        <v>3743</v>
      </c>
      <c r="D9" s="2">
        <v>50</v>
      </c>
      <c r="F9">
        <f>-LN(((1-(C9/$B$1))/2))</f>
        <v>1.3579000760252538</v>
      </c>
    </row>
    <row r="10" spans="1:9" x14ac:dyDescent="0.2">
      <c r="A10" s="3">
        <v>120</v>
      </c>
      <c r="B10">
        <v>5440</v>
      </c>
      <c r="C10" s="2">
        <f>B10</f>
        <v>5440</v>
      </c>
      <c r="D10" s="2"/>
      <c r="F10">
        <f t="shared" si="1"/>
        <v>1.9165075452465596</v>
      </c>
    </row>
    <row r="11" spans="1:9" x14ac:dyDescent="0.2">
      <c r="A11" s="3">
        <v>140</v>
      </c>
      <c r="B11">
        <v>5600</v>
      </c>
      <c r="C11" s="2">
        <f>B11</f>
        <v>5600</v>
      </c>
      <c r="D11" s="2"/>
      <c r="F11">
        <f>-LN(((1-(C11/$B$1))/2))</f>
        <v>1.9896663004329496</v>
      </c>
    </row>
    <row r="12" spans="1:9" x14ac:dyDescent="0.2">
      <c r="A12" s="3">
        <v>160</v>
      </c>
      <c r="B12">
        <v>6300</v>
      </c>
      <c r="C12" s="2">
        <f>B12</f>
        <v>6300</v>
      </c>
      <c r="D12" s="2"/>
      <c r="F12">
        <f t="shared" si="1"/>
        <v>2.3932356733762146</v>
      </c>
    </row>
    <row r="13" spans="1:9" x14ac:dyDescent="0.2">
      <c r="A13" s="3">
        <v>180</v>
      </c>
      <c r="B13">
        <v>6565</v>
      </c>
      <c r="C13" s="2">
        <f>B13</f>
        <v>6565</v>
      </c>
      <c r="D13" s="2"/>
      <c r="F13">
        <f t="shared" si="1"/>
        <v>2.6017495462993918</v>
      </c>
    </row>
    <row r="14" spans="1:9" x14ac:dyDescent="0.2">
      <c r="A14" s="3">
        <v>200</v>
      </c>
      <c r="B14">
        <v>7268</v>
      </c>
      <c r="C14" s="2">
        <f>B14</f>
        <v>7268</v>
      </c>
      <c r="D14" s="2"/>
      <c r="F14">
        <f>-LN(((1-(C14/$B$1))/2))</f>
        <v>3.5563864831818957</v>
      </c>
    </row>
    <row r="15" spans="1:9" x14ac:dyDescent="0.2">
      <c r="A15" s="3"/>
      <c r="C15" s="2"/>
      <c r="D15" s="2"/>
    </row>
    <row r="16" spans="1:9" x14ac:dyDescent="0.2">
      <c r="A16" s="3"/>
      <c r="C16" s="2"/>
      <c r="D16" s="2"/>
    </row>
    <row r="17" spans="1:4" x14ac:dyDescent="0.2">
      <c r="A17" s="3"/>
      <c r="C17" s="2"/>
      <c r="D17" s="2"/>
    </row>
    <row r="18" spans="1:4" x14ac:dyDescent="0.2">
      <c r="A18" s="3"/>
      <c r="C18" s="2"/>
      <c r="D18" s="2"/>
    </row>
    <row r="19" spans="1:4" x14ac:dyDescent="0.2">
      <c r="A19" s="3"/>
      <c r="C19" s="2"/>
      <c r="D19" s="2"/>
    </row>
    <row r="20" spans="1:4" x14ac:dyDescent="0.2">
      <c r="A20" s="3"/>
      <c r="C20" s="2"/>
    </row>
    <row r="21" spans="1:4" x14ac:dyDescent="0.2">
      <c r="A21" s="3"/>
      <c r="C21" s="2"/>
    </row>
    <row r="25" spans="1:4" x14ac:dyDescent="0.2">
      <c r="A25" s="3"/>
      <c r="C25" s="2"/>
      <c r="D25" s="2"/>
    </row>
    <row r="26" spans="1:4" x14ac:dyDescent="0.2">
      <c r="A26" s="3"/>
      <c r="C26" s="2"/>
      <c r="D26" s="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D9E4-55A1-F74B-8F93-2B68CA84535F}">
  <sheetPr codeName="Sheet17"/>
  <dimension ref="A1:H21"/>
  <sheetViews>
    <sheetView zoomScale="140" workbookViewId="0">
      <selection activeCell="F16" sqref="F16"/>
    </sheetView>
  </sheetViews>
  <sheetFormatPr baseColWidth="10" defaultRowHeight="16" x14ac:dyDescent="0.2"/>
  <cols>
    <col min="4" max="4" width="18" customWidth="1"/>
  </cols>
  <sheetData>
    <row r="1" spans="1:8" x14ac:dyDescent="0.2">
      <c r="A1" s="3" t="s">
        <v>18</v>
      </c>
      <c r="B1" s="2">
        <v>10780</v>
      </c>
      <c r="D1" t="s">
        <v>0</v>
      </c>
      <c r="E1" t="s">
        <v>47</v>
      </c>
      <c r="G1" t="s">
        <v>43</v>
      </c>
      <c r="H1">
        <f>1/0.0269</f>
        <v>37.174721189591075</v>
      </c>
    </row>
    <row r="2" spans="1:8" x14ac:dyDescent="0.2">
      <c r="A2" s="3" t="s">
        <v>17</v>
      </c>
      <c r="B2" s="2">
        <v>40</v>
      </c>
    </row>
    <row r="4" spans="1:8" x14ac:dyDescent="0.2">
      <c r="A4" s="3" t="s">
        <v>21</v>
      </c>
      <c r="C4" s="2" t="s">
        <v>20</v>
      </c>
      <c r="D4" s="2" t="s">
        <v>22</v>
      </c>
      <c r="F4" t="s">
        <v>6</v>
      </c>
    </row>
    <row r="5" spans="1:8" x14ac:dyDescent="0.2">
      <c r="A5" s="3">
        <v>1</v>
      </c>
      <c r="B5">
        <v>9285</v>
      </c>
      <c r="C5" s="2">
        <f>-B5</f>
        <v>-9285</v>
      </c>
      <c r="D5" s="2">
        <v>100</v>
      </c>
      <c r="F5">
        <f>-LN(((1-(C5/$B$1))/2))</f>
        <v>7.1862742321916265E-2</v>
      </c>
    </row>
    <row r="6" spans="1:8" x14ac:dyDescent="0.2">
      <c r="A6" s="3">
        <v>3</v>
      </c>
      <c r="B6">
        <v>8582</v>
      </c>
      <c r="C6" s="2">
        <f t="shared" ref="C6:C9" si="0">-B6</f>
        <v>-8582</v>
      </c>
      <c r="D6" s="2">
        <v>100</v>
      </c>
      <c r="F6">
        <f t="shared" ref="F6:F15" si="1">-LN(((1-(C6/$B$1))/2))</f>
        <v>0.1075273637429167</v>
      </c>
    </row>
    <row r="7" spans="1:8" x14ac:dyDescent="0.2">
      <c r="A7" s="3">
        <v>5</v>
      </c>
      <c r="B7">
        <v>7756</v>
      </c>
      <c r="C7" s="2">
        <f t="shared" si="0"/>
        <v>-7756</v>
      </c>
      <c r="D7" s="2">
        <v>100</v>
      </c>
      <c r="F7">
        <f t="shared" si="1"/>
        <v>0.15112495891072139</v>
      </c>
    </row>
    <row r="8" spans="1:8" x14ac:dyDescent="0.2">
      <c r="A8" s="3">
        <v>7</v>
      </c>
      <c r="B8">
        <v>6931</v>
      </c>
      <c r="C8" s="2">
        <f t="shared" si="0"/>
        <v>-6931</v>
      </c>
      <c r="D8" s="2">
        <v>100</v>
      </c>
      <c r="F8">
        <f t="shared" si="1"/>
        <v>0.19665383056630123</v>
      </c>
    </row>
    <row r="9" spans="1:8" x14ac:dyDescent="0.2">
      <c r="A9" s="3">
        <v>9</v>
      </c>
      <c r="B9">
        <v>6115</v>
      </c>
      <c r="C9" s="2">
        <f t="shared" si="0"/>
        <v>-6115</v>
      </c>
      <c r="D9" s="2">
        <v>100</v>
      </c>
      <c r="F9">
        <f t="shared" si="1"/>
        <v>0.24382202587454307</v>
      </c>
    </row>
    <row r="10" spans="1:8" x14ac:dyDescent="0.2">
      <c r="A10" s="3">
        <v>20</v>
      </c>
      <c r="C10" s="2">
        <v>-1860</v>
      </c>
      <c r="D10" s="2"/>
      <c r="F10">
        <f t="shared" si="1"/>
        <v>0.53397335732208506</v>
      </c>
    </row>
    <row r="11" spans="1:8" x14ac:dyDescent="0.2">
      <c r="A11" s="3">
        <v>40</v>
      </c>
      <c r="B11">
        <v>3000</v>
      </c>
      <c r="C11" s="2">
        <v>3000</v>
      </c>
      <c r="D11" s="2">
        <v>100</v>
      </c>
      <c r="F11">
        <f t="shared" si="1"/>
        <v>1.0192834078504962</v>
      </c>
    </row>
    <row r="12" spans="1:8" x14ac:dyDescent="0.2">
      <c r="A12" s="3">
        <v>60</v>
      </c>
      <c r="B12">
        <v>6533</v>
      </c>
      <c r="C12" s="2">
        <v>6533</v>
      </c>
      <c r="D12" s="2">
        <v>100</v>
      </c>
      <c r="F12">
        <f t="shared" si="1"/>
        <v>1.6246268947096623</v>
      </c>
    </row>
    <row r="13" spans="1:8" x14ac:dyDescent="0.2">
      <c r="A13" s="3">
        <v>80</v>
      </c>
      <c r="B13">
        <v>8115</v>
      </c>
      <c r="C13" s="2">
        <v>8115</v>
      </c>
      <c r="D13" s="2">
        <v>100</v>
      </c>
      <c r="F13">
        <f t="shared" si="1"/>
        <v>2.0906356884229886</v>
      </c>
    </row>
    <row r="14" spans="1:8" x14ac:dyDescent="0.2">
      <c r="A14" s="3">
        <v>100</v>
      </c>
      <c r="B14">
        <v>9462</v>
      </c>
      <c r="C14" s="2">
        <v>9462</v>
      </c>
      <c r="D14" s="2">
        <v>100</v>
      </c>
      <c r="F14">
        <f t="shared" si="1"/>
        <v>2.7947243099604808</v>
      </c>
    </row>
    <row r="15" spans="1:8" x14ac:dyDescent="0.2">
      <c r="A15" s="3">
        <v>120</v>
      </c>
      <c r="C15" s="2">
        <v>9930</v>
      </c>
      <c r="F15">
        <f t="shared" si="1"/>
        <v>3.2333586755385717</v>
      </c>
    </row>
    <row r="16" spans="1:8" x14ac:dyDescent="0.2">
      <c r="A16" s="3"/>
      <c r="C16" s="2"/>
    </row>
    <row r="20" spans="1:4" x14ac:dyDescent="0.2">
      <c r="A20" s="3"/>
      <c r="C20" s="2"/>
      <c r="D20" s="2"/>
    </row>
    <row r="21" spans="1:4" x14ac:dyDescent="0.2">
      <c r="A21" s="3"/>
      <c r="C21" s="2"/>
      <c r="D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rough_T1</vt:lpstr>
      <vt:lpstr>proper_T1</vt:lpstr>
      <vt:lpstr>proper_T2</vt:lpstr>
      <vt:lpstr>Mineral Oil</vt:lpstr>
      <vt:lpstr>Gly_90</vt:lpstr>
      <vt:lpstr>Gly_75</vt:lpstr>
      <vt:lpstr>Gly_50</vt:lpstr>
      <vt:lpstr>Gly_3.05</vt:lpstr>
      <vt:lpstr>Gly_12.5</vt:lpstr>
      <vt:lpstr>Gly_6.1</vt:lpstr>
      <vt:lpstr>Gly_1.5</vt:lpstr>
      <vt:lpstr>CuSO4_3.1</vt:lpstr>
      <vt:lpstr>Gly_100_T=50</vt:lpstr>
      <vt:lpstr>CuSO4_1.5_T=50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2026-02-20T11:16:39Z</dcterms:created>
  <dcterms:modified xsi:type="dcterms:W3CDTF">2026-03-02T15:34:48Z</dcterms:modified>
</cp:coreProperties>
</file>