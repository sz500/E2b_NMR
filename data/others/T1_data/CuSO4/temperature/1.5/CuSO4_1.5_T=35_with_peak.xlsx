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CuSO4/temperature/"/>
    </mc:Choice>
  </mc:AlternateContent>
  <xr:revisionPtr revIDLastSave="0" documentId="13_ncr:1_{A89DB542-0519-4C41-A149-E0D099C9DC60}" xr6:coauthVersionLast="47" xr6:coauthVersionMax="47" xr10:uidLastSave="{00000000-0000-0000-0000-000000000000}"/>
  <bookViews>
    <workbookView xWindow="1440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D5" i="1" s="1"/>
  <c r="B4" i="1"/>
  <c r="B5" i="1"/>
  <c r="B6" i="1"/>
  <c r="B7" i="1"/>
  <c r="B8" i="1"/>
  <c r="B9" i="1"/>
  <c r="B10" i="1"/>
  <c r="B11" i="1"/>
  <c r="B12" i="1"/>
  <c r="B13" i="1"/>
  <c r="F1" i="1"/>
  <c r="D12" i="1" l="1"/>
  <c r="D4" i="1"/>
  <c r="D13" i="1"/>
  <c r="D7" i="1"/>
  <c r="D6" i="1"/>
  <c r="D9" i="1"/>
  <c r="D10" i="1"/>
  <c r="D11" i="1"/>
  <c r="D8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<sst xmlns="http://schemas.openxmlformats.org/spreadsheetml/2006/main" count="7" uniqueCount="7">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</sst>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65</c:v>
                </c:pt>
                <c:pt idx="9">
                  <c:v>75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0.21187288068066223</c:v>
                </c:pt>
                <c:pt idx="1">
                  <c:v>0.26602836568302674</c:v>
                </c:pt>
                <c:pt idx="2">
                  <c:v>0.2766039872786264</c:v>
                </c:pt>
                <c:pt idx="3">
                  <c:v>0.43216809490303171</c:v>
                </c:pt>
                <c:pt idx="4">
                  <c:v>1.0317249273753049</c:v>
                </c:pt>
                <c:pt idx="5">
                  <c:v>1.1305494720533458</c:v>
                </c:pt>
                <c:pt idx="6">
                  <c:v>1.2606227074727667</c:v>
                </c:pt>
                <c:pt idx="7">
                  <c:v>1.4527198371015964</c:v>
                </c:pt>
                <c:pt idx="8">
                  <c:v>1.3143922722135806</c:v>
                </c:pt>
                <c:pt idx="9">
                  <c:v>1.6251009541903001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351388</xdr:colOff>
      <xdr:row>15</xdr:row>
      <xdr:rowOff>29516</xdr:rowOff>
    </xdr:from>
    <xdr:to>
      <xdr:col>4</xdr:col>
      <xdr:colOff>372437</xdr:colOff>
      <xdr:row>24</xdr:row>
      <xdr:rowOff>15421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3"/>
  <sheetViews>
    <sheetView tabSelected="1" zoomScale="115" workbookViewId="0">
      <selection activeCell="A2" sqref="A2:B4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1/0.022</f>
        <v>45.45454545454546</v>
      </c>
    </row>
    <row r="2" spans="1:6" x14ac:dyDescent="0.2">
      <c r="A2">
        <f>4544-265</f>
        <v>4279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5</v>
      </c>
      <c r="B4">
        <f>-(2890-245)</f>
        <v>-2645</v>
      </c>
      <c r="C4">
        <v>100</v>
      </c>
      <c r="D4">
        <f>-LN(((1-(B4/$A$2))/2))</f>
        <v>0.21187288068066223</v>
      </c>
    </row>
    <row r="5" spans="1:6" x14ac:dyDescent="0.2">
      <c r="A5">
        <v>10</v>
      </c>
      <c r="B5">
        <f>-(2410-130)</f>
        <v>-2280</v>
      </c>
      <c r="C5">
        <v>100</v>
      </c>
      <c r="D5">
        <f>-LN(((1-(B5/$A$2))/2))</f>
        <v>0.26602836568302674</v>
      </c>
    </row>
    <row r="6" spans="1:6" x14ac:dyDescent="0.2">
      <c r="A6">
        <v>15</v>
      </c>
      <c r="B6">
        <f>-(2245-34)</f>
        <v>-2211</v>
      </c>
      <c r="C6">
        <v>100</v>
      </c>
      <c r="D6">
        <f t="shared" ref="D6" si="0">-LN(((1-(B6/$A$2))/2))</f>
        <v>0.2766039872786264</v>
      </c>
    </row>
    <row r="7" spans="1:6" x14ac:dyDescent="0.2">
      <c r="A7">
        <v>20</v>
      </c>
      <c r="B7">
        <f>-(1306-30)</f>
        <v>-1276</v>
      </c>
      <c r="C7">
        <v>100</v>
      </c>
      <c r="D7">
        <f>-LN(((1-(B7/$A$2))/2))</f>
        <v>0.43216809490303171</v>
      </c>
    </row>
    <row r="8" spans="1:6" x14ac:dyDescent="0.2">
      <c r="A8">
        <v>40</v>
      </c>
      <c r="B8">
        <f>1293-64</f>
        <v>1229</v>
      </c>
      <c r="C8">
        <v>100</v>
      </c>
      <c r="D8">
        <f>-LN(((1-(B8/$A$2))/2))</f>
        <v>1.0317249273753049</v>
      </c>
    </row>
    <row r="9" spans="1:6" x14ac:dyDescent="0.2">
      <c r="A9">
        <v>45</v>
      </c>
      <c r="B9">
        <f>1990-474</f>
        <v>1516</v>
      </c>
      <c r="C9">
        <v>100</v>
      </c>
      <c r="D9">
        <f>-LN(((1-(B9/$A$2))/2))</f>
        <v>1.1305494720533458</v>
      </c>
    </row>
    <row r="10" spans="1:6" x14ac:dyDescent="0.2">
      <c r="A10">
        <v>50</v>
      </c>
      <c r="B10">
        <f>2373-520</f>
        <v>1853</v>
      </c>
      <c r="C10">
        <v>100</v>
      </c>
      <c r="D10">
        <f>-LN(((1-(B10/$A$2))/2))</f>
        <v>1.2606227074727667</v>
      </c>
    </row>
    <row r="11" spans="1:6" x14ac:dyDescent="0.2">
      <c r="A11">
        <v>55</v>
      </c>
      <c r="B11">
        <f>2347-70</f>
        <v>2277</v>
      </c>
      <c r="C11">
        <v>100</v>
      </c>
      <c r="D11">
        <f>-LN(((1-(B11/$A$2))/2))</f>
        <v>1.4527198371015964</v>
      </c>
    </row>
    <row r="12" spans="1:6" x14ac:dyDescent="0.2">
      <c r="A12">
        <v>65</v>
      </c>
      <c r="B12">
        <f>2680-700</f>
        <v>1980</v>
      </c>
      <c r="C12">
        <v>100</v>
      </c>
      <c r="D12">
        <f t="shared" ref="D12:D13" si="1">-LN(((1-(B12/$A$2))/2))</f>
        <v>1.3143922722135806</v>
      </c>
    </row>
    <row r="13" spans="1:6" x14ac:dyDescent="0.2">
      <c r="A13">
        <v>75</v>
      </c>
      <c r="B13">
        <f>2690-96</f>
        <v>2594</v>
      </c>
      <c r="C13">
        <v>100</v>
      </c>
      <c r="D13">
        <f t="shared" si="1"/>
        <v>1.6251009541903001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2026-02-27T12:00:21Z</dcterms:modified>
</cp:coreProperties>
</file>