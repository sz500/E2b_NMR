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emperature/"/>
    </mc:Choice>
  </mc:AlternateContent>
  <xr:revisionPtr revIDLastSave="0" documentId="13_ncr:1_{A083FC87-6C81-CF46-A9BF-8AB5668A2CD3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14" i="1"/>
  <c r="B8" i="1"/>
  <c r="D7" i="1"/>
  <c r="D6" i="1"/>
  <c r="B12" i="1"/>
  <c r="D10" i="1"/>
  <c r="B6" i="1"/>
  <c r="B11" i="1"/>
  <c r="B5" i="1"/>
  <c r="D5" i="1" s="1"/>
  <c r="A2" i="1"/>
  <c r="B13" i="1"/>
  <c r="B4" i="1"/>
  <c r="D4" i="1" s="1"/>
  <c r="F1" i="1"/>
  <c r="D13" i="1"/>
  <c r="D8" i="1"/>
  <c r="D9" i="1"/>
  <c r="D11" i="1"/>
  <c r="D12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<sst xmlns="http://schemas.openxmlformats.org/spreadsheetml/2006/main" count="7" uniqueCount="7">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</sst>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30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0.21816411924824139</c:v>
                </c:pt>
                <c:pt idx="1">
                  <c:v>0.35452334249227835</c:v>
                </c:pt>
                <c:pt idx="2">
                  <c:v>0.44855638291483596</c:v>
                </c:pt>
                <c:pt idx="3">
                  <c:v>0.57057620495602523</c:v>
                </c:pt>
                <c:pt idx="4">
                  <c:v>0.57129744552100825</c:v>
                </c:pt>
                <c:pt idx="5">
                  <c:v>0.69314718055994529</c:v>
                </c:pt>
                <c:pt idx="6">
                  <c:v>0.90776968214222109</c:v>
                </c:pt>
                <c:pt idx="7">
                  <c:v>1.0176296429612772</c:v>
                </c:pt>
                <c:pt idx="8">
                  <c:v>1.1410656049204488</c:v>
                </c:pt>
                <c:pt idx="9">
                  <c:v>1.3362243084750844</c:v>
                </c:pt>
                <c:pt idx="10">
                  <c:v>1.540173412533147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zoomScale="106" workbookViewId="0">
      <selection activeCell="E13" sqref="E13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1/0.0355</f>
        <v>28.169014084507044</v>
      </c>
    </row>
    <row r="2" spans="1:6" x14ac:dyDescent="0.2">
      <c r="A2">
        <f>3435-981</f>
        <v>2454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6</v>
      </c>
      <c r="B4">
        <f>-(1762-270)</f>
        <v>-1492</v>
      </c>
      <c r="C4">
        <v>100</v>
      </c>
      <c r="D4">
        <f t="shared" ref="D4:D14" si="0">-LN(((1-(B4/$A$2))/2))</f>
        <v>0.21816411924824139</v>
      </c>
    </row>
    <row r="5" spans="1:6" x14ac:dyDescent="0.2">
      <c r="A5">
        <v>8</v>
      </c>
      <c r="B5">
        <f>-(1204-215)</f>
        <v>-989</v>
      </c>
      <c r="C5">
        <v>100</v>
      </c>
      <c r="D5">
        <f t="shared" si="0"/>
        <v>0.35452334249227835</v>
      </c>
    </row>
    <row r="6" spans="1:6" x14ac:dyDescent="0.2">
      <c r="A6">
        <v>10</v>
      </c>
      <c r="B6">
        <f>-(895-215)</f>
        <v>-680</v>
      </c>
      <c r="C6">
        <v>100</v>
      </c>
      <c r="D6">
        <f t="shared" si="0"/>
        <v>0.44855638291483596</v>
      </c>
    </row>
    <row r="7" spans="1:6" x14ac:dyDescent="0.2">
      <c r="A7">
        <v>12</v>
      </c>
      <c r="B7">
        <v>-320</v>
      </c>
      <c r="C7">
        <v>100</v>
      </c>
      <c r="D7">
        <f t="shared" si="0"/>
        <v>0.57057620495602523</v>
      </c>
    </row>
    <row r="8" spans="1:6" x14ac:dyDescent="0.2">
      <c r="A8">
        <v>14</v>
      </c>
      <c r="B8">
        <f>-(474-156)</f>
        <v>-318</v>
      </c>
      <c r="C8">
        <v>100</v>
      </c>
      <c r="D8">
        <f t="shared" si="0"/>
        <v>0.57129744552100825</v>
      </c>
    </row>
    <row r="9" spans="1:6" x14ac:dyDescent="0.2">
      <c r="A9">
        <v>16</v>
      </c>
      <c r="C9">
        <v>100</v>
      </c>
      <c r="D9">
        <f t="shared" si="0"/>
        <v>0.69314718055994529</v>
      </c>
    </row>
    <row r="10" spans="1:6" x14ac:dyDescent="0.2">
      <c r="A10">
        <v>18</v>
      </c>
      <c r="B10">
        <v>474</v>
      </c>
      <c r="C10">
        <v>100</v>
      </c>
      <c r="D10">
        <f t="shared" si="0"/>
        <v>0.90776968214222109</v>
      </c>
    </row>
    <row r="11" spans="1:6" x14ac:dyDescent="0.2">
      <c r="A11">
        <v>22</v>
      </c>
      <c r="B11">
        <f>895-215</f>
        <v>680</v>
      </c>
      <c r="C11">
        <v>100</v>
      </c>
      <c r="D11">
        <f>-LN(((1-(B11/$A$2))/2))</f>
        <v>1.0176296429612772</v>
      </c>
    </row>
    <row r="12" spans="1:6" x14ac:dyDescent="0.2">
      <c r="A12">
        <v>24</v>
      </c>
      <c r="B12">
        <f>1144-258</f>
        <v>886</v>
      </c>
      <c r="C12">
        <v>100</v>
      </c>
      <c r="D12">
        <f>-LN(((1-(B12/$A$2))/2))</f>
        <v>1.1410656049204488</v>
      </c>
    </row>
    <row r="13" spans="1:6" x14ac:dyDescent="0.2">
      <c r="A13">
        <v>26</v>
      </c>
      <c r="B13">
        <f>1434-270</f>
        <v>1164</v>
      </c>
      <c r="C13">
        <v>100</v>
      </c>
      <c r="D13">
        <f t="shared" si="0"/>
        <v>1.3362243084750844</v>
      </c>
    </row>
    <row r="14" spans="1:6" x14ac:dyDescent="0.2">
      <c r="A14">
        <v>30</v>
      </c>
      <c r="B14">
        <f>1697-295</f>
        <v>1402</v>
      </c>
      <c r="C14">
        <v>100</v>
      </c>
      <c r="D14">
        <f t="shared" si="0"/>
        <v>1.540173412533147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2026-02-27T14:57:06Z</dcterms:modified>
</cp:coreProperties>
</file>