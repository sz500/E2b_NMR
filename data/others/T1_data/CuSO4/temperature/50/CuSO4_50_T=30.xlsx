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<sst xmlns="http://schemas.openxmlformats.org/spreadsheetml/2006/main" count="6" uniqueCount="6">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</sst>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0.0810168240878875</c:v>
                </c:pt>
                <c:pt idx="1">
                  <c:v>0.386043009997641</c:v>
                </c:pt>
                <c:pt idx="2">
                  <c:v>0.748258134311989</c:v>
                </c:pt>
                <c:pt idx="3">
                  <c:v>1.12825663598309</c:v>
                </c:pt>
                <c:pt idx="4">
                  <c:v>1.49576652409082</c:v>
                </c:pt>
                <c:pt idx="5">
                  <c:v>1.7965696845053</c:v>
                </c:pt>
                <c:pt idx="6">
                  <c:v>2.13455249543188</c:v>
                </c:pt>
                <c:pt idx="7">
                  <c:v>2.53342562185789</c:v>
                </c:pt>
                <c:pt idx="8">
                  <c:v>2.66526893380395</c:v>
                </c:pt>
                <c:pt idx="9">
                  <c:v>3.05881139695521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50" zoomScaleNormal="150" workbookViewId="0">
      <selection activeCell="C4" sqref="C4:C13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1/0.6737</f>
        <v>1.48434021077631</v>
      </c>
    </row>
    <row r="2" spans="1:5">
      <c r="A2">
        <f>5133-340</f>
        <v>4793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0.1</v>
      </c>
      <c r="B4">
        <f>-(4197-150)</f>
        <v>-4047</v>
      </c>
      <c r="C4">
        <v>400</v>
      </c>
      <c r="D4">
        <f t="shared" ref="D4:D13" si="0">-LN(((1-(B4/$A$2))/2))</f>
        <v>0.0810168240878875</v>
      </c>
    </row>
    <row r="5" spans="1:5">
      <c r="A5">
        <v>0.5</v>
      </c>
      <c r="B5">
        <f>-(1873-150)</f>
        <v>-1723</v>
      </c>
      <c r="C5">
        <v>400</v>
      </c>
      <c r="D5">
        <f t="shared" si="0"/>
        <v>0.386043009997641</v>
      </c>
    </row>
    <row r="6" spans="1:5">
      <c r="A6">
        <v>1</v>
      </c>
      <c r="B6">
        <f>(482-225)</f>
        <v>257</v>
      </c>
      <c r="C6">
        <v>400</v>
      </c>
      <c r="D6">
        <f t="shared" si="0"/>
        <v>0.748258134311989</v>
      </c>
    </row>
    <row r="7" spans="1:5">
      <c r="A7">
        <v>1.5</v>
      </c>
      <c r="B7">
        <f>1959-268</f>
        <v>1691</v>
      </c>
      <c r="C7">
        <v>400</v>
      </c>
      <c r="D7">
        <f t="shared" si="0"/>
        <v>1.12825663598309</v>
      </c>
    </row>
    <row r="8" spans="1:5">
      <c r="A8">
        <v>2</v>
      </c>
      <c r="B8">
        <f>(2870-225)</f>
        <v>2645</v>
      </c>
      <c r="C8">
        <v>400</v>
      </c>
      <c r="D8">
        <f t="shared" si="0"/>
        <v>1.49576652409082</v>
      </c>
    </row>
    <row r="9" spans="1:5">
      <c r="A9">
        <v>2.5</v>
      </c>
      <c r="B9">
        <f>3471-268</f>
        <v>3203</v>
      </c>
      <c r="C9">
        <v>400</v>
      </c>
      <c r="D9">
        <f t="shared" si="0"/>
        <v>1.7965696845053</v>
      </c>
    </row>
    <row r="10" spans="1:5">
      <c r="A10">
        <v>3</v>
      </c>
      <c r="B10">
        <f>(3927-268)</f>
        <v>3659</v>
      </c>
      <c r="C10">
        <v>400</v>
      </c>
      <c r="D10">
        <f t="shared" si="0"/>
        <v>2.13455249543188</v>
      </c>
    </row>
    <row r="11" spans="1:5">
      <c r="A11">
        <v>3.5</v>
      </c>
      <c r="B11">
        <f>4183-151</f>
        <v>4032</v>
      </c>
      <c r="C11">
        <v>400</v>
      </c>
      <c r="D11">
        <f t="shared" si="0"/>
        <v>2.53342562185789</v>
      </c>
    </row>
    <row r="12" spans="1:5">
      <c r="A12">
        <v>4</v>
      </c>
      <c r="B12">
        <f>4394-268</f>
        <v>4126</v>
      </c>
      <c r="C12">
        <v>400</v>
      </c>
      <c r="D12">
        <f t="shared" si="0"/>
        <v>2.66526893380395</v>
      </c>
    </row>
    <row r="13" spans="1:5">
      <c r="A13">
        <v>4.5</v>
      </c>
      <c r="B13">
        <f>(4493-150)</f>
        <v>4343</v>
      </c>
      <c r="C13">
        <v>400</v>
      </c>
      <c r="D13">
        <f t="shared" si="0"/>
        <v>3.05881139695521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