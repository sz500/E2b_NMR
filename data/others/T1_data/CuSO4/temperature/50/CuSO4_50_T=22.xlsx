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<sst xmlns="http://schemas.openxmlformats.org/spreadsheetml/2006/main" count="6" uniqueCount="6">
  <si>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M0/mV</t>
  </si>
  <si>
    <t>delta M0/mV</t>
  </si>
  <si>
    <t>t/ms</t>
  </si>
  <si>
    <t>V/mV</t>
  </si>
  <si>
    <t>delta V/mV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</si>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</sst>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Sheet1!$A$4:$A$14</c:f>
              <c:numCache>
                <c:formatCode>General</c:formatCode>
                <c:ptCount val="11"/>
                <c:pt idx="0">
                  <c:v>0.1</c:v>
                </c:pt>
                <c:pt idx="1">
                  <c:v>0.3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1.75</c:v>
                </c:pt>
                <c:pt idx="6">
                  <c:v>1.9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4</c:v>
                </c:pt>
              </c:numCache>
            </c:numRef>
          </c:xVal>
          <c:yVal>
            <c:numRef>
              <c:f>Sheet1!$D$4:$D$14</c:f>
              <c:numCache>
                <c:formatCode>General</c:formatCode>
                <c:ptCount val="11"/>
                <c:pt idx="0">
                  <c:v>0.0680562840995935</c:v>
                </c:pt>
                <c:pt idx="1">
                  <c:v>0.217501576141327</c:v>
                </c:pt>
                <c:pt idx="2">
                  <c:v>0.387059528376712</c:v>
                </c:pt>
                <c:pt idx="3">
                  <c:v>0.787992817770176</c:v>
                </c:pt>
                <c:pt idx="4">
                  <c:v>1.26409268005856</c:v>
                </c:pt>
                <c:pt idx="5">
                  <c:v>1.49604842957043</c:v>
                </c:pt>
                <c:pt idx="6">
                  <c:v>1.60354702624562</c:v>
                </c:pt>
                <c:pt idx="7">
                  <c:v>1.56977821940138</c:v>
                </c:pt>
                <c:pt idx="8">
                  <c:v>2.04113020674411</c:v>
                </c:pt>
                <c:pt idx="9">
                  <c:v>2.20951692355259</c:v>
                </c:pt>
                <c:pt idx="10">
                  <c:v>2.62138937623576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4d83dff-c8ad-4fdc-8d6e-ed2135e3ce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793620</xdr:colOff>
      <xdr:row>6</xdr:row>
      <xdr:rowOff>176926</xdr:rowOff>
    </xdr:from>
    <xdr:to>
      <xdr:col>9</xdr:col>
      <xdr:colOff>814668</xdr:colOff>
      <xdr:row>15</xdr:row>
      <xdr:rowOff>162831</xdr:rowOff>
    </xdr:to>
    <xdr:graphicFrame>
      <xdr:nvGraphicFramePr>
        <xdr:cNvPr id="2" name="Chart 1"/>
        <xdr:cNvGraphicFramePr/>
      </xdr:nvGraphicFramePr>
      <xdr:xfrm>
        <a:off x="5600065" y="1357630"/>
        <a:ext cx="3653155" cy="175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zoomScale="150" zoomScaleNormal="150" workbookViewId="0">
      <selection activeCell="E1" sqref="E1"/>
    </sheetView>
  </sheetViews>
  <sheetFormatPr defaultColWidth="11" defaultRowHeight="15.5" outlineLevelCol="4"/>
  <cols>
    <col min="4" max="5" width="12.6153846153846"/>
  </cols>
  <sheetData>
    <row r="1" spans="1:5">
      <c r="A1" t="s">
        <v>0</v>
      </c>
      <c r="B1" t="s">
        <v>1</v>
      </c>
      <c r="E1">
        <f>1/0.6961</f>
        <v>1.43657520471197</v>
      </c>
    </row>
    <row r="2" spans="1:5">
      <c r="A2">
        <f>5233-240</f>
        <v>4993</v>
      </c>
      <c r="B2">
        <v>100</v>
      </c>
    </row>
    <row r="3" spans="1:5">
      <c r="A3" t="s">
        <v>2</v>
      </c>
      <c r="B3" t="s">
        <v>3</v>
      </c>
      <c r="C3" t="s">
        <v>4</v>
      </c>
      <c r="D3" t="s">
        <v>5</v>
      </c>
    </row>
    <row r="4" spans="1:5">
      <c r="A4">
        <v>0.1</v>
      </c>
      <c r="B4">
        <v>-4336</v>
      </c>
      <c r="C4">
        <v>400</v>
      </c>
      <c r="D4">
        <f t="shared" ref="D4:D14" si="0">-LN(((1-(B4/$A$2))/2))</f>
        <v>0.0680562840995935</v>
      </c>
    </row>
    <row r="5" spans="1:5">
      <c r="A5">
        <v>0.3</v>
      </c>
      <c r="B5">
        <v>-3041</v>
      </c>
      <c r="C5">
        <v>400</v>
      </c>
      <c r="D5">
        <f t="shared" si="0"/>
        <v>0.217501576141327</v>
      </c>
    </row>
    <row r="6" spans="1:5">
      <c r="A6">
        <v>0.5</v>
      </c>
      <c r="B6">
        <v>-1788</v>
      </c>
      <c r="C6">
        <v>400</v>
      </c>
      <c r="D6">
        <f t="shared" si="0"/>
        <v>0.387059528376712</v>
      </c>
    </row>
    <row r="7" spans="1:5">
      <c r="A7">
        <v>1</v>
      </c>
      <c r="B7">
        <v>451.8</v>
      </c>
      <c r="C7">
        <v>400</v>
      </c>
      <c r="D7">
        <f t="shared" si="0"/>
        <v>0.787992817770176</v>
      </c>
    </row>
    <row r="8" spans="1:5">
      <c r="A8">
        <v>1.5</v>
      </c>
      <c r="B8">
        <v>2172</v>
      </c>
      <c r="C8">
        <v>400</v>
      </c>
      <c r="D8">
        <f t="shared" si="0"/>
        <v>1.26409268005856</v>
      </c>
    </row>
    <row r="9" spans="1:5">
      <c r="A9">
        <v>1.75</v>
      </c>
      <c r="B9">
        <v>2756</v>
      </c>
      <c r="C9">
        <v>400</v>
      </c>
      <c r="D9">
        <f t="shared" si="0"/>
        <v>1.49604842957043</v>
      </c>
    </row>
    <row r="10" spans="1:5">
      <c r="A10">
        <v>1.9</v>
      </c>
      <c r="B10">
        <v>2984</v>
      </c>
      <c r="C10">
        <v>400</v>
      </c>
      <c r="D10">
        <f t="shared" si="0"/>
        <v>1.60354702624562</v>
      </c>
    </row>
    <row r="11" spans="1:5">
      <c r="A11">
        <v>2</v>
      </c>
      <c r="B11">
        <f>3155-240</f>
        <v>2915</v>
      </c>
      <c r="C11">
        <v>400</v>
      </c>
      <c r="D11">
        <f t="shared" si="0"/>
        <v>1.56977821940138</v>
      </c>
    </row>
    <row r="12" spans="1:5">
      <c r="A12">
        <v>2.5</v>
      </c>
      <c r="B12">
        <v>3696</v>
      </c>
      <c r="C12">
        <v>400</v>
      </c>
      <c r="D12">
        <f t="shared" si="0"/>
        <v>2.04113020674411</v>
      </c>
    </row>
    <row r="13" spans="1:5">
      <c r="A13">
        <v>3</v>
      </c>
      <c r="B13">
        <f>(4137-240)</f>
        <v>3897</v>
      </c>
      <c r="C13">
        <v>400</v>
      </c>
      <c r="D13">
        <f t="shared" si="0"/>
        <v>2.20951692355259</v>
      </c>
    </row>
    <row r="14" spans="1:5">
      <c r="A14">
        <v>4</v>
      </c>
      <c r="B14">
        <f>(4521-254)</f>
        <v>4267</v>
      </c>
      <c r="C14">
        <v>400</v>
      </c>
      <c r="D14">
        <f t="shared" si="0"/>
        <v>2.62138937623576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Solomon</cp:lastModifiedBy>
  <dcterms:created xsi:type="dcterms:W3CDTF">2026-02-25T13:18:00Z</dcterms:created>
  <dcterms:modified xsi:type="dcterms:W3CDTF">2026-02-27T21:15:19Z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E1EC9A603648472785886616E9859AC7_12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