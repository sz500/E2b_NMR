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Gly/"/>
    </mc:Choice>
  </mc:AlternateContent>
  <xr:revisionPtr revIDLastSave="0" documentId="13_ncr:1_{29101FA8-7483-A84C-A942-4EDDF6765FF4}" xr6:coauthVersionLast="47" xr6:coauthVersionMax="47" xr10:uidLastSave="{00000000-0000-0000-0000-000000000000}"/>
  <bookViews>
    <workbookView xWindow="0" yWindow="0" windowWidth="14400" windowHeight="18000" xr2:uid="{06CB0E91-93C0-FB47-B785-3178472A8D5C}"/>
  </bookViews>
  <sheets>
    <sheet name="Gly_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G5" i="1"/>
  <c r="H1" i="1"/>
  <c r="G6" i="1"/>
  <c r="G7" i="1"/>
  <c r="G8" i="1"/>
  <c r="G9" i="1"/>
  <c r="G10" i="1"/>
  <c r="G11" i="1"/>
  <c r="G12" i="1"/>
  <c r="G13" i="1"/>
  <c r="G14" i="1"/>
  <c r="G15" i="1"/>
  <c r="G16" i="1"/>
  <c r="F5" i="1"/>
  <c r="F15" i="1"/>
  <c r="F16" i="1"/>
  <c r="F14" i="1"/>
  <c r="F13" i="1"/>
  <c r="F12" i="1"/>
  <c r="F11" i="1"/>
  <c r="F10" i="1"/>
  <c r="F9" i="1"/>
  <c r="F7" i="1"/>
  <c r="F6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<sst xmlns="http://schemas.openxmlformats.org/spreadsheetml/2006/main" count="9" uniqueCount="9">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</sst>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91434191543024"/>
          <c:y val="6.5412059923627558E-2"/>
          <c:w val="0.81048965575178233"/>
          <c:h val="0.7768253827635617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4273484119528549"/>
                  <c:y val="8.09892951071936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Gly_25!$A$5:$A$16</c:f>
              <c:numCache>
                <c:formatCode>0.00_ </c:formatCode>
                <c:ptCount val="12"/>
                <c:pt idx="0">
                  <c:v>50</c:v>
                </c:pt>
                <c:pt idx="1">
                  <c:v>150</c:v>
                </c:pt>
                <c:pt idx="2">
                  <c:v>250</c:v>
                </c:pt>
                <c:pt idx="3">
                  <c:v>350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2400</c:v>
                </c:pt>
                <c:pt idx="10">
                  <c:v>2000</c:v>
                </c:pt>
                <c:pt idx="11">
                  <c:v>2200</c:v>
                </c:pt>
              </c:numCache>
            </c:numRef>
          </c:xVal>
          <c:yVal>
            <c:numRef>
              <c:f>Gly_25!$F$5:$F$16</c:f>
              <c:numCache>
                <c:formatCode>General</c:formatCode>
                <c:ptCount val="12"/>
                <c:pt idx="0">
                  <c:v>7.8433446288527706E-2</c:v>
                </c:pt>
                <c:pt idx="1">
                  <c:v>0.17908490514478126</c:v>
                </c:pt>
                <c:pt idx="2">
                  <c:v>0.26955966544763249</c:v>
                </c:pt>
                <c:pt idx="3">
                  <c:v>0.34851452966333157</c:v>
                </c:pt>
                <c:pt idx="4">
                  <c:v>1.1036122990848154</c:v>
                </c:pt>
                <c:pt idx="5">
                  <c:v>1.3771097365446399</c:v>
                </c:pt>
                <c:pt idx="6">
                  <c:v>1.6698287710515902</c:v>
                </c:pt>
                <c:pt idx="7">
                  <c:v>2.0572458092880517</c:v>
                </c:pt>
                <c:pt idx="8">
                  <c:v>2.4457818552957677</c:v>
                </c:pt>
                <c:pt idx="9">
                  <c:v>0</c:v>
                </c:pt>
                <c:pt idx="10">
                  <c:v>2.8004034104226587</c:v>
                </c:pt>
                <c:pt idx="11">
                  <c:v>3.6789538143139664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11-BE4B-BCD1-7F5BBEAC2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41891544451843"/>
          <c:y val="3.9292840950399227E-2"/>
          <c:w val="0.81048965575178233"/>
          <c:h val="0.7768253827635617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4273484119528549"/>
                  <c:y val="8.09892951071936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Gly_25!$A$5:$A$16</c:f>
              <c:numCache>
                <c:formatCode>0.00_ </c:formatCode>
                <c:ptCount val="12"/>
                <c:pt idx="0">
                  <c:v>50</c:v>
                </c:pt>
                <c:pt idx="1">
                  <c:v>150</c:v>
                </c:pt>
                <c:pt idx="2">
                  <c:v>250</c:v>
                </c:pt>
                <c:pt idx="3">
                  <c:v>350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2400</c:v>
                </c:pt>
                <c:pt idx="10">
                  <c:v>2000</c:v>
                </c:pt>
                <c:pt idx="11">
                  <c:v>2200</c:v>
                </c:pt>
              </c:numCache>
            </c:numRef>
          </c:xVal>
          <c:yVal>
            <c:numRef>
              <c:f>Gly_25!$G$5:$G$16</c:f>
              <c:numCache>
                <c:formatCode>General</c:formatCode>
                <c:ptCount val="12"/>
                <c:pt idx="0">
                  <c:v>0.10369938570774984</c:v>
                </c:pt>
                <c:pt idx="1">
                  <c:v>0.19714408668317868</c:v>
                </c:pt>
                <c:pt idx="2">
                  <c:v>0.29602936632854371</c:v>
                </c:pt>
                <c:pt idx="3">
                  <c:v>0.36274964548520361</c:v>
                </c:pt>
                <c:pt idx="4">
                  <c:v>1.1130552398850975</c:v>
                </c:pt>
                <c:pt idx="5">
                  <c:v>1.3471695666276584</c:v>
                </c:pt>
                <c:pt idx="6">
                  <c:v>1.6340525978863067</c:v>
                </c:pt>
                <c:pt idx="7">
                  <c:v>1.9249346730687582</c:v>
                </c:pt>
                <c:pt idx="8">
                  <c:v>2.349817867034024</c:v>
                </c:pt>
                <c:pt idx="9">
                  <c:v>3.9145198856267345</c:v>
                </c:pt>
                <c:pt idx="10">
                  <c:v>2.5599742228214226</c:v>
                </c:pt>
                <c:pt idx="11">
                  <c:v>3.3198127778800397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44-ED42-9A54-5F2CBF0F4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121022</xdr:colOff>
      <xdr:row>20</xdr:row>
      <xdr:rowOff>74743</xdr:rowOff>
    </xdr:from>
    <xdr:to>
      <xdr:col>4</xdr:col>
      <xdr:colOff>802587</xdr:colOff>
      <xdr:row>29</xdr:row>
      <xdr:rowOff>182688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65EE64-2772-F04F-AC1E-8EC39E13E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22679</xdr:colOff>
      <xdr:row>20</xdr:row>
      <xdr:rowOff>45357</xdr:rowOff>
    </xdr:from>
    <xdr:to>
      <xdr:col>9</xdr:col>
      <xdr:colOff>429924</xdr:colOff>
      <xdr:row>29</xdr:row>
      <xdr:rowOff>153302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3E9859-FFBE-E349-B275-DD58AAF84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5483-BBCE-DE44-8DC8-147BA592BFF6}">
  <sheetPr codeName="Sheet10"/>
  <dimension ref="A1:H16"/>
  <sheetViews>
    <sheetView tabSelected="1" workbookViewId="0">
      <selection activeCell="G9" sqref="G9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8020</v>
      </c>
      <c r="D1" t="s">
        <v>1</v>
      </c>
      <c r="E1" t="s">
        <v>2</v>
      </c>
      <c r="G1" t="s">
        <v>3</v>
      </c>
      <c r="H1">
        <f>1/0.0015</f>
        <v>666.66666666666663</v>
      </c>
    </row>
    <row r="2" spans="1:8" x14ac:dyDescent="0.2">
      <c r="A2" s="1" t="s">
        <v>4</v>
      </c>
      <c r="B2" s="2">
        <v>100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50</v>
      </c>
      <c r="B5">
        <v>-6440</v>
      </c>
      <c r="C5" s="2">
        <v>-6810</v>
      </c>
      <c r="D5" s="2">
        <v>100</v>
      </c>
      <c r="F5">
        <f>-LN(((1-(C5/$B$1))/2))</f>
        <v>7.8433446288527706E-2</v>
      </c>
      <c r="G5" s="3">
        <f>-LN(((1-(B5/$B$1))/2))</f>
        <v>0.10369938570774984</v>
      </c>
    </row>
    <row r="6" spans="1:8" x14ac:dyDescent="0.2">
      <c r="A6" s="1">
        <v>150</v>
      </c>
      <c r="B6">
        <v>-5150</v>
      </c>
      <c r="C6" s="2">
        <v>-5390</v>
      </c>
      <c r="D6" s="2">
        <v>100</v>
      </c>
      <c r="F6">
        <f t="shared" ref="F6" si="0">-LN(((1-(C6/$B$1))/2))</f>
        <v>0.17908490514478126</v>
      </c>
      <c r="G6" s="3">
        <f t="shared" ref="G6:G16" si="1">-LN(((1-(B6/$B$1))/2))</f>
        <v>0.19714408668317868</v>
      </c>
    </row>
    <row r="7" spans="1:8" x14ac:dyDescent="0.2">
      <c r="A7" s="1">
        <v>250</v>
      </c>
      <c r="B7">
        <v>-3910</v>
      </c>
      <c r="C7" s="2">
        <v>-4230</v>
      </c>
      <c r="D7" s="2">
        <v>100</v>
      </c>
      <c r="F7">
        <f t="shared" ref="F7:F14" si="2">-LN(((1-(C7/$B$1))/2))</f>
        <v>0.26955966544763249</v>
      </c>
      <c r="G7" s="3">
        <f t="shared" si="1"/>
        <v>0.29602936632854371</v>
      </c>
    </row>
    <row r="8" spans="1:8" x14ac:dyDescent="0.2">
      <c r="A8" s="1">
        <v>350</v>
      </c>
      <c r="B8">
        <v>-3140</v>
      </c>
      <c r="C8" s="2">
        <v>-3300</v>
      </c>
      <c r="D8" s="2">
        <v>100</v>
      </c>
      <c r="F8">
        <f>-LN(((1-(C8/$B$1))/2))</f>
        <v>0.34851452966333157</v>
      </c>
      <c r="G8" s="3">
        <f t="shared" si="1"/>
        <v>0.36274964548520361</v>
      </c>
    </row>
    <row r="9" spans="1:8" x14ac:dyDescent="0.2">
      <c r="A9" s="1">
        <v>1000</v>
      </c>
      <c r="B9">
        <v>2750</v>
      </c>
      <c r="C9" s="2">
        <v>2700</v>
      </c>
      <c r="D9" s="2">
        <v>100</v>
      </c>
      <c r="F9">
        <f t="shared" si="2"/>
        <v>1.1036122990848154</v>
      </c>
      <c r="G9" s="3">
        <f t="shared" si="1"/>
        <v>1.1130552398850975</v>
      </c>
    </row>
    <row r="10" spans="1:8" x14ac:dyDescent="0.2">
      <c r="A10" s="1">
        <v>1200</v>
      </c>
      <c r="B10">
        <v>3850</v>
      </c>
      <c r="C10" s="2">
        <v>3973</v>
      </c>
      <c r="D10" s="2">
        <v>100</v>
      </c>
      <c r="F10">
        <f t="shared" si="2"/>
        <v>1.3771097365446399</v>
      </c>
      <c r="G10" s="3">
        <f t="shared" si="1"/>
        <v>1.3471695666276584</v>
      </c>
    </row>
    <row r="11" spans="1:8" x14ac:dyDescent="0.2">
      <c r="A11" s="1">
        <v>1400</v>
      </c>
      <c r="B11">
        <v>4890</v>
      </c>
      <c r="C11" s="2">
        <v>5000</v>
      </c>
      <c r="D11" s="2">
        <v>100</v>
      </c>
      <c r="F11">
        <f t="shared" si="2"/>
        <v>1.6698287710515902</v>
      </c>
      <c r="G11" s="3">
        <f t="shared" si="1"/>
        <v>1.6340525978863067</v>
      </c>
    </row>
    <row r="12" spans="1:8" x14ac:dyDescent="0.2">
      <c r="A12" s="1">
        <v>1600</v>
      </c>
      <c r="B12">
        <v>5680</v>
      </c>
      <c r="C12" s="2">
        <v>5970</v>
      </c>
      <c r="D12" s="2">
        <v>100</v>
      </c>
      <c r="F12">
        <f t="shared" si="2"/>
        <v>2.0572458092880517</v>
      </c>
      <c r="G12" s="3">
        <f t="shared" si="1"/>
        <v>1.9249346730687582</v>
      </c>
    </row>
    <row r="13" spans="1:8" x14ac:dyDescent="0.2">
      <c r="A13" s="1">
        <v>1800</v>
      </c>
      <c r="B13">
        <v>6490</v>
      </c>
      <c r="C13" s="2">
        <v>6630</v>
      </c>
      <c r="D13" s="2">
        <v>100</v>
      </c>
      <c r="F13">
        <f t="shared" si="2"/>
        <v>2.4457818552957677</v>
      </c>
      <c r="G13" s="3">
        <f t="shared" si="1"/>
        <v>2.349817867034024</v>
      </c>
    </row>
    <row r="14" spans="1:8" x14ac:dyDescent="0.2">
      <c r="A14" s="1">
        <v>2400</v>
      </c>
      <c r="B14">
        <v>7700</v>
      </c>
      <c r="C14" s="2">
        <v>8040</v>
      </c>
      <c r="D14" s="2">
        <v>100</v>
      </c>
      <c r="F14" t="e">
        <f t="shared" si="2"/>
        <v>#NUM!</v>
      </c>
      <c r="G14" s="3">
        <f t="shared" si="1"/>
        <v>3.9145198856267345</v>
      </c>
    </row>
    <row r="15" spans="1:8" x14ac:dyDescent="0.2">
      <c r="A15" s="1">
        <v>2000</v>
      </c>
      <c r="B15">
        <v>6780</v>
      </c>
      <c r="C15" s="2">
        <v>7045</v>
      </c>
      <c r="D15" s="2">
        <v>100</v>
      </c>
      <c r="F15">
        <f t="shared" ref="F15:F16" si="3">-LN(((1-(C15/$B$1))/2))</f>
        <v>2.8004034104226587</v>
      </c>
      <c r="G15" s="3">
        <f t="shared" si="1"/>
        <v>2.5599742228214226</v>
      </c>
    </row>
    <row r="16" spans="1:8" x14ac:dyDescent="0.2">
      <c r="A16" s="1">
        <v>2200</v>
      </c>
      <c r="B16">
        <v>7440</v>
      </c>
      <c r="C16" s="2">
        <v>7615</v>
      </c>
      <c r="D16" s="2">
        <v>100</v>
      </c>
      <c r="F16">
        <f t="shared" si="3"/>
        <v>3.6789538143139664</v>
      </c>
      <c r="G16" s="3">
        <f t="shared" si="1"/>
        <v>3.3198127778800397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2026-02-25T15:21:49Z</dcterms:created>
  <dcterms:modified xsi:type="dcterms:W3CDTF">2026-02-27T12:44:05Z</dcterms:modified>
</cp:coreProperties>
</file>