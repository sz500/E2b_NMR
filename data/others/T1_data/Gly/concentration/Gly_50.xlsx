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"/>
    </mc:Choice>
  </mc:AlternateContent>
  <xr:revisionPtr revIDLastSave="0" documentId="8_{713ED1EA-A4F6-6B4A-88DD-CB422B0030BB}" xr6:coauthVersionLast="47" xr6:coauthVersionMax="47" xr10:uidLastSave="{00000000-0000-0000-0000-000000000000}"/>
  <bookViews>
    <workbookView xWindow="780" yWindow="500" windowWidth="27640" windowHeight="16940" xr2:uid="{06CB0E91-93C0-FB47-B785-3178472A8D5C}"/>
  </bookViews>
  <sheets>
    <sheet name="Gly_50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C27" i="1"/>
  <c r="F27" i="1" s="1"/>
  <c r="C25" i="1"/>
  <c r="F25" i="1" s="1"/>
  <c r="C24" i="1"/>
  <c r="F24" i="1" s="1"/>
  <c r="C19" i="1"/>
  <c r="F19" i="1" s="1"/>
  <c r="C14" i="1"/>
  <c r="F14" i="1" s="1"/>
  <c r="C9" i="1"/>
  <c r="F9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<sst xmlns="http://schemas.openxmlformats.org/spreadsheetml/2006/main" count="9" uniqueCount="9">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</sst>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Gly_50!$A$5:$A$34</c:f>
              <c:numCache>
                <c:formatCode>0.00_ </c:formatCode>
                <c:ptCount val="30"/>
                <c:pt idx="4">
                  <c:v>50</c:v>
                </c:pt>
                <c:pt idx="9">
                  <c:v>100</c:v>
                </c:pt>
                <c:pt idx="14">
                  <c:v>150</c:v>
                </c:pt>
                <c:pt idx="19">
                  <c:v>200</c:v>
                </c:pt>
                <c:pt idx="22">
                  <c:v>300</c:v>
                </c:pt>
                <c:pt idx="24">
                  <c:v>350</c:v>
                </c:pt>
                <c:pt idx="25">
                  <c:v>450</c:v>
                </c:pt>
                <c:pt idx="26">
                  <c:v>550</c:v>
                </c:pt>
                <c:pt idx="27">
                  <c:v>650</c:v>
                </c:pt>
                <c:pt idx="28">
                  <c:v>750</c:v>
                </c:pt>
              </c:numCache>
            </c:numRef>
          </c:xVal>
          <c:yVal>
            <c:numRef>
              <c:f>Gly_50!$F$5:$F$34</c:f>
              <c:numCache>
                <c:formatCode>General</c:formatCode>
                <c:ptCount val="30"/>
                <c:pt idx="4">
                  <c:v>0.15209799350951617</c:v>
                </c:pt>
                <c:pt idx="9">
                  <c:v>0.28312625591592017</c:v>
                </c:pt>
                <c:pt idx="14">
                  <c:v>0.41199321924908777</c:v>
                </c:pt>
                <c:pt idx="19">
                  <c:v>0.50626980723013004</c:v>
                </c:pt>
                <c:pt idx="20">
                  <c:v>0.69314718055994529</c:v>
                </c:pt>
                <c:pt idx="22">
                  <c:v>0.85164519591492904</c:v>
                </c:pt>
                <c:pt idx="23">
                  <c:v>0.69314718055994529</c:v>
                </c:pt>
                <c:pt idx="24">
                  <c:v>0.98540592003913807</c:v>
                </c:pt>
                <c:pt idx="25">
                  <c:v>1.2603257408770678</c:v>
                </c:pt>
                <c:pt idx="26">
                  <c:v>1.5272899408251015</c:v>
                </c:pt>
                <c:pt idx="27">
                  <c:v>1.8055527913603908</c:v>
                </c:pt>
                <c:pt idx="28">
                  <c:v>2.0712559570933968</c:v>
                </c:pt>
                <c:pt idx="29">
                  <c:v>0.69314718055994529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1-BE4B-BCD1-7F5BBEAC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18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5EE64-2772-F04F-AC1E-8EC39E1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ychus/Coding/E2b_NMR/T1_data/T1.xlsm" TargetMode="External"/><Relationship Id="rId1" Type="http://schemas.openxmlformats.org/officeDocument/2006/relationships/externalLinkPath" Target="T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rough_T1"/>
      <sheetName val="proper_T1"/>
      <sheetName val="proper_T2"/>
      <sheetName val="Mineral Oil"/>
      <sheetName val="Gly_90"/>
      <sheetName val="Gly_75"/>
      <sheetName val="Gly_50"/>
      <sheetName val="Gly_3.05"/>
      <sheetName val="Gly_12.5"/>
      <sheetName val="Gly_6.1"/>
      <sheetName val="Gly_1.5"/>
      <sheetName val="CuSO4_3.1"/>
      <sheetName val="Gly_100_T=50"/>
      <sheetName val="CuSO4_1.5_T=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A9">
            <v>50</v>
          </cell>
          <cell r="F9">
            <v>0.15209799350951617</v>
          </cell>
        </row>
        <row r="14">
          <cell r="A14">
            <v>100</v>
          </cell>
          <cell r="F14">
            <v>0.28312625591592017</v>
          </cell>
        </row>
        <row r="19">
          <cell r="A19">
            <v>150</v>
          </cell>
          <cell r="F19">
            <v>0.41199321924908777</v>
          </cell>
        </row>
        <row r="24">
          <cell r="A24">
            <v>200</v>
          </cell>
          <cell r="F24">
            <v>0.50626980723013004</v>
          </cell>
        </row>
        <row r="25">
          <cell r="F25">
            <v>0.69314718055994529</v>
          </cell>
        </row>
        <row r="27">
          <cell r="A27">
            <v>300</v>
          </cell>
          <cell r="F27">
            <v>0.85164519591492904</v>
          </cell>
        </row>
        <row r="28">
          <cell r="F28">
            <v>0.69314718055994529</v>
          </cell>
        </row>
        <row r="29">
          <cell r="A29">
            <v>350</v>
          </cell>
          <cell r="F29">
            <v>0.98540592003913807</v>
          </cell>
        </row>
        <row r="30">
          <cell r="A30">
            <v>450</v>
          </cell>
          <cell r="F30">
            <v>1.2603257408770678</v>
          </cell>
        </row>
        <row r="31">
          <cell r="A31">
            <v>550</v>
          </cell>
          <cell r="F31">
            <v>1.5272899408251015</v>
          </cell>
        </row>
        <row r="32">
          <cell r="A32">
            <v>650</v>
          </cell>
          <cell r="F32">
            <v>1.8055527913603908</v>
          </cell>
        </row>
        <row r="33">
          <cell r="A33">
            <v>750</v>
          </cell>
          <cell r="F33">
            <v>2.0712559570933968</v>
          </cell>
        </row>
        <row r="34">
          <cell r="F34">
            <v>0.69314718055994529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5483-BBCE-DE44-8DC8-147BA592BFF6}">
  <sheetPr codeName="Sheet10"/>
  <dimension ref="A1:H47"/>
  <sheetViews>
    <sheetView tabSelected="1" topLeftCell="A28" zoomScale="134" workbookViewId="0">
      <selection activeCell="C34" sqref="C34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7300</v>
      </c>
      <c r="D1" t="s">
        <v>1</v>
      </c>
      <c r="E1" t="s">
        <v>2</v>
      </c>
      <c r="G1" t="s">
        <v>3</v>
      </c>
      <c r="H1">
        <f>1/0.0028</f>
        <v>357.14285714285717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/>
      <c r="C5" s="2"/>
      <c r="D5" s="2"/>
    </row>
    <row r="6" spans="1:8" x14ac:dyDescent="0.2">
      <c r="A6" s="1"/>
      <c r="C6" s="2"/>
      <c r="D6" s="2"/>
    </row>
    <row r="7" spans="1:8" x14ac:dyDescent="0.2">
      <c r="A7" s="1"/>
      <c r="C7" s="2"/>
      <c r="D7" s="2"/>
    </row>
    <row r="8" spans="1:8" x14ac:dyDescent="0.2">
      <c r="A8" s="1"/>
      <c r="C8" s="2"/>
      <c r="D8" s="2"/>
    </row>
    <row r="9" spans="1:8" x14ac:dyDescent="0.2">
      <c r="A9" s="1">
        <v>50</v>
      </c>
      <c r="B9">
        <v>5240</v>
      </c>
      <c r="C9" s="2">
        <f t="shared" ref="C9:C25" si="0">-B9</f>
        <v>-5240</v>
      </c>
      <c r="D9" s="2">
        <v>50</v>
      </c>
      <c r="F9">
        <f t="shared" ref="F9:F47" si="1">-LN(((1-(C9/$B$1))/2))</f>
        <v>0.15209799350951617</v>
      </c>
    </row>
    <row r="10" spans="1:8" x14ac:dyDescent="0.2">
      <c r="A10" s="1"/>
      <c r="C10" s="2"/>
      <c r="D10" s="2"/>
    </row>
    <row r="11" spans="1:8" x14ac:dyDescent="0.2">
      <c r="A11" s="1"/>
      <c r="C11" s="2"/>
      <c r="D11" s="2"/>
    </row>
    <row r="12" spans="1:8" x14ac:dyDescent="0.2">
      <c r="A12" s="1"/>
      <c r="C12" s="2"/>
      <c r="D12" s="2"/>
    </row>
    <row r="13" spans="1:8" x14ac:dyDescent="0.2">
      <c r="A13" s="1"/>
      <c r="C13" s="2"/>
      <c r="D13" s="2"/>
    </row>
    <row r="14" spans="1:8" x14ac:dyDescent="0.2">
      <c r="A14" s="1">
        <v>100</v>
      </c>
      <c r="B14">
        <v>3700</v>
      </c>
      <c r="C14" s="2">
        <f t="shared" si="0"/>
        <v>-3700</v>
      </c>
      <c r="D14" s="2">
        <v>50</v>
      </c>
      <c r="F14">
        <f t="shared" si="1"/>
        <v>0.28312625591592017</v>
      </c>
    </row>
    <row r="15" spans="1:8" x14ac:dyDescent="0.2">
      <c r="A15" s="1"/>
      <c r="C15" s="2"/>
      <c r="D15" s="2"/>
    </row>
    <row r="16" spans="1:8" x14ac:dyDescent="0.2">
      <c r="A16" s="1"/>
      <c r="C16" s="2"/>
      <c r="D16" s="2"/>
    </row>
    <row r="17" spans="1:6" x14ac:dyDescent="0.2">
      <c r="A17" s="1"/>
      <c r="C17" s="2"/>
      <c r="D17" s="2"/>
    </row>
    <row r="18" spans="1:6" x14ac:dyDescent="0.2">
      <c r="A18" s="1"/>
      <c r="C18" s="2"/>
      <c r="D18" s="2"/>
    </row>
    <row r="19" spans="1:6" x14ac:dyDescent="0.2">
      <c r="A19" s="1">
        <v>150</v>
      </c>
      <c r="B19">
        <v>2370</v>
      </c>
      <c r="C19" s="2">
        <f t="shared" si="0"/>
        <v>-2370</v>
      </c>
      <c r="D19" s="2">
        <v>50</v>
      </c>
      <c r="F19">
        <f t="shared" si="1"/>
        <v>0.41199321924908777</v>
      </c>
    </row>
    <row r="20" spans="1:6" x14ac:dyDescent="0.2">
      <c r="A20" s="1"/>
      <c r="C20" s="2"/>
      <c r="D20" s="2"/>
    </row>
    <row r="21" spans="1:6" x14ac:dyDescent="0.2">
      <c r="A21" s="1"/>
      <c r="C21" s="2"/>
      <c r="D21" s="2"/>
    </row>
    <row r="22" spans="1:6" x14ac:dyDescent="0.2">
      <c r="A22" s="1"/>
      <c r="C22" s="2"/>
      <c r="D22" s="2"/>
    </row>
    <row r="23" spans="1:6" x14ac:dyDescent="0.2">
      <c r="A23" s="1"/>
      <c r="C23" s="2"/>
      <c r="D23" s="2"/>
    </row>
    <row r="24" spans="1:6" x14ac:dyDescent="0.2">
      <c r="A24" s="1">
        <v>200</v>
      </c>
      <c r="B24">
        <v>1500</v>
      </c>
      <c r="C24" s="2">
        <f t="shared" si="0"/>
        <v>-1500</v>
      </c>
      <c r="D24" s="2">
        <v>50</v>
      </c>
      <c r="F24">
        <f t="shared" si="1"/>
        <v>0.50626980723013004</v>
      </c>
    </row>
    <row r="25" spans="1:6" x14ac:dyDescent="0.2">
      <c r="A25" s="1"/>
      <c r="C25" s="2">
        <f t="shared" si="0"/>
        <v>0</v>
      </c>
      <c r="F25">
        <f t="shared" si="1"/>
        <v>0.69314718055994529</v>
      </c>
    </row>
    <row r="26" spans="1:6" x14ac:dyDescent="0.2">
      <c r="A26" s="1"/>
      <c r="C26" s="2"/>
    </row>
    <row r="27" spans="1:6" x14ac:dyDescent="0.2">
      <c r="A27" s="1">
        <v>300</v>
      </c>
      <c r="B27">
        <v>1070</v>
      </c>
      <c r="C27" s="2">
        <f>B27</f>
        <v>1070</v>
      </c>
      <c r="F27">
        <f t="shared" si="1"/>
        <v>0.85164519591492904</v>
      </c>
    </row>
    <row r="28" spans="1:6" x14ac:dyDescent="0.2">
      <c r="A28" s="1"/>
      <c r="C28" s="2"/>
      <c r="F28">
        <f t="shared" si="1"/>
        <v>0.69314718055994529</v>
      </c>
    </row>
    <row r="29" spans="1:6" x14ac:dyDescent="0.2">
      <c r="A29" s="1">
        <v>350</v>
      </c>
      <c r="C29" s="2">
        <v>1850</v>
      </c>
      <c r="F29">
        <f t="shared" si="1"/>
        <v>0.98540592003913807</v>
      </c>
    </row>
    <row r="30" spans="1:6" x14ac:dyDescent="0.2">
      <c r="A30" s="1">
        <v>450</v>
      </c>
      <c r="C30" s="2">
        <v>3160</v>
      </c>
      <c r="D30" s="2"/>
      <c r="F30">
        <f t="shared" si="1"/>
        <v>1.2603257408770678</v>
      </c>
    </row>
    <row r="31" spans="1:6" x14ac:dyDescent="0.2">
      <c r="A31" s="1">
        <v>550</v>
      </c>
      <c r="C31" s="2">
        <v>4130</v>
      </c>
      <c r="D31" s="2"/>
      <c r="F31">
        <f t="shared" si="1"/>
        <v>1.5272899408251015</v>
      </c>
    </row>
    <row r="32" spans="1:6" x14ac:dyDescent="0.2">
      <c r="A32" s="1">
        <v>650</v>
      </c>
      <c r="C32" s="2">
        <v>4900</v>
      </c>
      <c r="F32">
        <f t="shared" si="1"/>
        <v>1.8055527913603908</v>
      </c>
    </row>
    <row r="33" spans="1:6" x14ac:dyDescent="0.2">
      <c r="A33" s="1">
        <v>750</v>
      </c>
      <c r="C33" s="2">
        <v>5460</v>
      </c>
      <c r="F33">
        <f t="shared" si="1"/>
        <v>2.0712559570933968</v>
      </c>
    </row>
    <row r="34" spans="1:6" x14ac:dyDescent="0.2">
      <c r="F34">
        <f t="shared" si="1"/>
        <v>0.69314718055994529</v>
      </c>
    </row>
    <row r="35" spans="1:6" x14ac:dyDescent="0.2">
      <c r="F35">
        <f t="shared" si="1"/>
        <v>0.69314718055994529</v>
      </c>
    </row>
    <row r="36" spans="1:6" x14ac:dyDescent="0.2">
      <c r="F36">
        <f t="shared" si="1"/>
        <v>0.69314718055994529</v>
      </c>
    </row>
    <row r="37" spans="1:6" x14ac:dyDescent="0.2">
      <c r="F37">
        <f t="shared" si="1"/>
        <v>0.69314718055994529</v>
      </c>
    </row>
    <row r="38" spans="1:6" x14ac:dyDescent="0.2">
      <c r="F38">
        <f t="shared" si="1"/>
        <v>0.69314718055994529</v>
      </c>
    </row>
    <row r="39" spans="1:6" x14ac:dyDescent="0.2">
      <c r="F39">
        <f t="shared" si="1"/>
        <v>0.69314718055994529</v>
      </c>
    </row>
    <row r="40" spans="1:6" x14ac:dyDescent="0.2">
      <c r="F40">
        <f t="shared" si="1"/>
        <v>0.69314718055994529</v>
      </c>
    </row>
    <row r="41" spans="1:6" x14ac:dyDescent="0.2">
      <c r="F41">
        <f t="shared" si="1"/>
        <v>0.69314718055994529</v>
      </c>
    </row>
    <row r="42" spans="1:6" x14ac:dyDescent="0.2">
      <c r="F42">
        <f t="shared" si="1"/>
        <v>0.69314718055994529</v>
      </c>
    </row>
    <row r="43" spans="1:6" x14ac:dyDescent="0.2">
      <c r="F43">
        <f t="shared" si="1"/>
        <v>0.69314718055994529</v>
      </c>
    </row>
    <row r="44" spans="1:6" x14ac:dyDescent="0.2">
      <c r="F44">
        <f t="shared" si="1"/>
        <v>0.69314718055994529</v>
      </c>
    </row>
    <row r="45" spans="1:6" x14ac:dyDescent="0.2">
      <c r="F45">
        <f t="shared" si="1"/>
        <v>0.69314718055994529</v>
      </c>
    </row>
    <row r="46" spans="1:6" x14ac:dyDescent="0.2">
      <c r="F46">
        <f t="shared" si="1"/>
        <v>0.69314718055994529</v>
      </c>
    </row>
    <row r="47" spans="1:6" x14ac:dyDescent="0.2">
      <c r="F47">
        <f t="shared" si="1"/>
        <v>0.69314718055994529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2026-02-25T15:21:49Z</dcterms:modified>
</cp:coreProperties>
</file>