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<sst xmlns="http://schemas.openxmlformats.org/spreadsheetml/2006/main" count="10" uniqueCount="10">
  <si>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M0/mV</t>
  </si>
  <si>
    <t>delta M0/mV</t>
  </si>
  <si>
    <t>T1</t>
  </si>
  <si>
    <t>t/ms</t>
  </si>
  <si>
    <t>V/mV</t>
  </si>
  <si>
    <t>delta V/mV</t>
  </si>
  <si>
    <t>y</t>
  </si>
  <si>
    <t>V</t>
  </si>
  <si>
    <t>T1 of the strange, unknown material, with no sample used at all!</t>
  </si>
  <si>
    <t>Measured when the water bath uses deionized water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</si>
</sst>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Sheet1!$A$4:$A$11</c:f>
              <c:numCache>
                <c:formatCode>General</c:formatCode>
                <c:ptCount val="8"/>
                <c:pt idx="0">
                  <c:v>1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  <c:pt idx="6">
                  <c:v>80</c:v>
                </c:pt>
                <c:pt idx="7">
                  <c:v>90</c:v>
                </c:pt>
              </c:numCache>
            </c:numRef>
          </c:xVal>
          <c:yVal>
            <c:numRef>
              <c:f>Sheet1!$D$4:$D$11</c:f>
              <c:numCache>
                <c:formatCode>General</c:formatCode>
                <c:ptCount val="8"/>
                <c:pt idx="0">
                  <c:v>0.311036218569745</c:v>
                </c:pt>
                <c:pt idx="1">
                  <c:v>1.22222624463529</c:v>
                </c:pt>
                <c:pt idx="2">
                  <c:v>1.45805962140782</c:v>
                </c:pt>
                <c:pt idx="3">
                  <c:v>1.73891698785367</c:v>
                </c:pt>
                <c:pt idx="4">
                  <c:v>2.0120002608843</c:v>
                </c:pt>
                <c:pt idx="5">
                  <c:v>2.31167016521652</c:v>
                </c:pt>
                <c:pt idx="6">
                  <c:v>2.63338867233319</c:v>
                </c:pt>
                <c:pt idx="7">
                  <c:v>2.90915165254776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7bb357f-f74e-45aa-9bb6-dd59d95a54b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247015</xdr:colOff>
      <xdr:row>12</xdr:row>
      <xdr:rowOff>180340</xdr:rowOff>
    </xdr:from>
    <xdr:to>
      <xdr:col>5</xdr:col>
      <xdr:colOff>268605</xdr:colOff>
      <xdr:row>18</xdr:row>
      <xdr:rowOff>147320</xdr:rowOff>
    </xdr:to>
    <xdr:graphicFrame>
      <xdr:nvGraphicFramePr>
        <xdr:cNvPr id="2" name="Chart 1"/>
        <xdr:cNvGraphicFramePr/>
      </xdr:nvGraphicFramePr>
      <xdr:xfrm>
        <a:off x="1085215" y="2580640"/>
        <a:ext cx="3374390" cy="33674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abSelected="1" workbookViewId="0">
      <selection activeCell="F2" sqref="F2"/>
    </sheetView>
  </sheetViews>
  <sheetFormatPr defaultColWidth="11" defaultRowHeight="15.75" outlineLevelCol="6"/>
  <cols>
    <col min="6" max="6" width="12.625"/>
  </cols>
  <sheetData>
    <row r="1" spans="1:7">
      <c r="A1" t="s">
        <v>0</v>
      </c>
      <c r="B1" t="s">
        <v>1</v>
      </c>
      <c r="E1" t="s">
        <v>2</v>
      </c>
      <c r="F1">
        <f>1/0.0289</f>
        <v>34.6020761245675</v>
      </c>
    </row>
    <row r="2" spans="1:7">
      <c r="A2">
        <v>3870</v>
      </c>
      <c r="B2">
        <v>100</v>
      </c>
    </row>
    <row r="3" spans="1:7">
      <c r="A3" t="s">
        <v>3</v>
      </c>
      <c r="B3" t="s">
        <v>4</v>
      </c>
      <c r="C3" t="s">
        <v>5</v>
      </c>
      <c r="D3" t="s">
        <v>6</v>
      </c>
      <c r="F3" t="s">
        <v>7</v>
      </c>
    </row>
    <row r="4" spans="1:7">
      <c r="A4">
        <v>1</v>
      </c>
      <c r="B4">
        <v>-1801</v>
      </c>
      <c r="C4">
        <v>100</v>
      </c>
      <c r="D4">
        <f>-LN(((1-(B4/$A$2))/2))</f>
        <v>0.311036218569745</v>
      </c>
    </row>
    <row r="5" spans="1:7">
      <c r="A5">
        <v>30</v>
      </c>
      <c r="B5">
        <v>1590</v>
      </c>
      <c r="C5">
        <v>100</v>
      </c>
      <c r="D5">
        <f>-LN(((1-(B5/$A$2))/2))</f>
        <v>1.22222624463529</v>
      </c>
    </row>
    <row r="6" spans="1:7">
      <c r="A6">
        <v>40</v>
      </c>
      <c r="B6">
        <v>2069</v>
      </c>
      <c r="C6">
        <v>100</v>
      </c>
      <c r="D6">
        <f t="shared" ref="D6:D11" si="0">-LN(((1-(B6/$A$2))/2))</f>
        <v>1.45805962140782</v>
      </c>
    </row>
    <row r="7" spans="1:7">
      <c r="A7">
        <v>50</v>
      </c>
      <c r="B7">
        <v>2510</v>
      </c>
      <c r="C7">
        <v>100</v>
      </c>
      <c r="D7">
        <f t="shared" si="0"/>
        <v>1.73891698785367</v>
      </c>
    </row>
    <row r="8" spans="1:7">
      <c r="A8">
        <v>60</v>
      </c>
      <c r="B8">
        <v>2835</v>
      </c>
      <c r="C8">
        <v>100</v>
      </c>
      <c r="D8">
        <f t="shared" si="0"/>
        <v>2.0120002608843</v>
      </c>
    </row>
    <row r="9" spans="1:7">
      <c r="A9">
        <v>70</v>
      </c>
      <c r="B9">
        <v>3103</v>
      </c>
      <c r="C9">
        <v>100</v>
      </c>
      <c r="D9">
        <f t="shared" si="0"/>
        <v>2.31167016521652</v>
      </c>
    </row>
    <row r="10" spans="1:7">
      <c r="A10">
        <v>80</v>
      </c>
      <c r="B10">
        <v>3314</v>
      </c>
      <c r="C10">
        <v>100</v>
      </c>
      <c r="D10">
        <f t="shared" si="0"/>
        <v>2.63338867233319</v>
      </c>
    </row>
    <row r="11" spans="1:7">
      <c r="A11">
        <v>90</v>
      </c>
      <c r="B11">
        <v>3448</v>
      </c>
      <c r="C11">
        <v>100</v>
      </c>
      <c r="D11">
        <f t="shared" si="0"/>
        <v>2.90915165254776</v>
      </c>
    </row>
    <row r="15" ht="110.25" spans="1:7">
      <c r="G15" s="1" t="s">
        <v>8</v>
      </c>
    </row>
    <row r="16" ht="94.5" spans="1:7">
      <c r="G16" s="1" t="s">
        <v>9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Solomon</cp:lastModifiedBy>
  <dcterms:created xsi:type="dcterms:W3CDTF">2026-02-25T13:18:00Z</dcterms:created>
  <dcterms:modified xsi:type="dcterms:W3CDTF">2026-03-14T05:36:19Z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B0E4A7D304B54120B3F5902CEBB9F4D4_12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